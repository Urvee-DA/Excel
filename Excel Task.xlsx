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13_ncr:1_{78BA2E68-FD21-4AB6-929C-FEFDC3B6C943}" xr6:coauthVersionLast="45" xr6:coauthVersionMax="45" xr10:uidLastSave="{00000000-0000-0000-0000-000000000000}"/>
  <bookViews>
    <workbookView xWindow="-120" yWindow="-120" windowWidth="20730" windowHeight="11040" xr2:uid="{0229A755-32D9-4796-975B-2CB45580F278}"/>
  </bookViews>
  <sheets>
    <sheet name="Sheet1" sheetId="1" r:id="rId1"/>
  </sheets>
  <definedNames>
    <definedName name="_xlnm._FilterDatabase" localSheetId="0" hidden="1">Sheet1!$C$52:$C$71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1" i="1" l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30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03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04" i="1"/>
  <c r="B125" i="1" l="1"/>
  <c r="B126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84" i="1"/>
  <c r="F78" i="1"/>
  <c r="G59" i="1"/>
  <c r="G60" i="1"/>
  <c r="G61" i="1"/>
  <c r="G62" i="1"/>
  <c r="F75" i="1" s="1"/>
  <c r="G63" i="1"/>
  <c r="G64" i="1"/>
  <c r="G65" i="1"/>
  <c r="G66" i="1"/>
  <c r="G67" i="1"/>
  <c r="G68" i="1"/>
  <c r="G69" i="1"/>
  <c r="G58" i="1"/>
  <c r="F72" i="1" l="1"/>
  <c r="F76" i="1"/>
  <c r="F74" i="1"/>
  <c r="F73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G29" i="1"/>
  <c r="G28" i="1"/>
  <c r="F29" i="1"/>
  <c r="F30" i="1"/>
  <c r="G30" i="1" s="1"/>
  <c r="F31" i="1"/>
  <c r="G31" i="1" s="1"/>
  <c r="F32" i="1"/>
  <c r="G32" i="1" s="1"/>
  <c r="F28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33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4" i="1"/>
  <c r="F33" i="1" l="1"/>
  <c r="G33" i="1" s="1"/>
  <c r="F36" i="1"/>
  <c r="G36" i="1" s="1"/>
  <c r="F35" i="1"/>
  <c r="G35" i="1" s="1"/>
  <c r="F44" i="1"/>
  <c r="G44" i="1" s="1"/>
  <c r="F43" i="1"/>
  <c r="G43" i="1" s="1"/>
  <c r="F38" i="1"/>
  <c r="G38" i="1" s="1"/>
  <c r="F46" i="1"/>
  <c r="G46" i="1" s="1"/>
  <c r="F45" i="1"/>
  <c r="G45" i="1" s="1"/>
  <c r="F37" i="1"/>
  <c r="G37" i="1" s="1"/>
  <c r="F42" i="1"/>
  <c r="G42" i="1" s="1"/>
  <c r="F34" i="1"/>
  <c r="G34" i="1" s="1"/>
  <c r="F40" i="1"/>
  <c r="G40" i="1" s="1"/>
  <c r="F47" i="1"/>
  <c r="G47" i="1" s="1"/>
  <c r="F39" i="1"/>
  <c r="G39" i="1" s="1"/>
  <c r="F41" i="1"/>
  <c r="G41" i="1" s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</calcChain>
</file>

<file path=xl/sharedStrings.xml><?xml version="1.0" encoding="utf-8"?>
<sst xmlns="http://schemas.openxmlformats.org/spreadsheetml/2006/main" count="442" uniqueCount="219">
  <si>
    <t>Employee ID</t>
  </si>
  <si>
    <t>Name</t>
  </si>
  <si>
    <t>Department</t>
  </si>
  <si>
    <t>Salary</t>
  </si>
  <si>
    <t>Joining Date</t>
  </si>
  <si>
    <t>E101</t>
  </si>
  <si>
    <t>Amit Sharma</t>
  </si>
  <si>
    <t>HR</t>
  </si>
  <si>
    <t>E102</t>
  </si>
  <si>
    <t>Neha Verma</t>
  </si>
  <si>
    <t>IT</t>
  </si>
  <si>
    <t>E103</t>
  </si>
  <si>
    <t>Rahul Mehta</t>
  </si>
  <si>
    <t>Finance</t>
  </si>
  <si>
    <t>E104</t>
  </si>
  <si>
    <t>Pooja Singh</t>
  </si>
  <si>
    <t>E105</t>
  </si>
  <si>
    <t>Ankit Patel</t>
  </si>
  <si>
    <t>Sales</t>
  </si>
  <si>
    <t>Task-1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</si>
  <si>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</si>
  <si>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</si>
  <si>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</si>
  <si>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</si>
  <si>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</si>
  <si>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</si>
  <si>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</si>
  <si>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</si>
  <si>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</si>
  <si>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</si>
  <si>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</si>
  <si>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</si>
  <si>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</si>
  <si>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</si>
  <si>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</si>
  <si>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Anirudh Suchak</t>
  </si>
  <si>
    <t>Arjun Sharma</t>
  </si>
  <si>
    <t>Urja Thakkar</t>
  </si>
  <si>
    <t>Bharti Shah</t>
  </si>
  <si>
    <t>Jagruti Kariya</t>
  </si>
  <si>
    <t>Devansh Patel</t>
  </si>
  <si>
    <t>Dipak Mehta</t>
  </si>
  <si>
    <t>Nitin Sharma</t>
  </si>
  <si>
    <t>Krishna Kapoor</t>
  </si>
  <si>
    <t>Riya Vadera</t>
  </si>
  <si>
    <t>Manali Mehta</t>
  </si>
  <si>
    <t>Shefali Shah</t>
  </si>
  <si>
    <t>Divya vyash</t>
  </si>
  <si>
    <t>Aariv Agarwal</t>
  </si>
  <si>
    <t>Sunny Mehta</t>
  </si>
  <si>
    <t>Management</t>
  </si>
  <si>
    <t>Product Name</t>
  </si>
  <si>
    <t>Region</t>
  </si>
  <si>
    <t>Sales Amount</t>
  </si>
  <si>
    <t>Salesperson</t>
  </si>
  <si>
    <t>Laptop Dell Inspiron 15</t>
  </si>
  <si>
    <t>North</t>
  </si>
  <si>
    <t>Ramesh</t>
  </si>
  <si>
    <t>HP Wireless Mouse</t>
  </si>
  <si>
    <t>West</t>
  </si>
  <si>
    <t>Sneha</t>
  </si>
  <si>
    <t>Samsung 24-inch Monitor</t>
  </si>
  <si>
    <t>East</t>
  </si>
  <si>
    <t>Arjun</t>
  </si>
  <si>
    <t>Lenovo ThinkPad E14 Laptop</t>
  </si>
  <si>
    <t>South</t>
  </si>
  <si>
    <t>Kavita</t>
  </si>
  <si>
    <t>Task-2</t>
  </si>
  <si>
    <t>Monthly Sales Report</t>
  </si>
  <si>
    <t>Lenovo ThinkPad E15 Laptop</t>
  </si>
  <si>
    <t>Hp ThinkPad E14 Laptop</t>
  </si>
  <si>
    <t>HP ThinkPad E15 Laptop</t>
  </si>
  <si>
    <t>Dell ThinkPad E14 Laptop</t>
  </si>
  <si>
    <t>Dell ThinkPad E15 Laptop</t>
  </si>
  <si>
    <t xml:space="preserve"> Iphone MacBook Air</t>
  </si>
  <si>
    <t>Iphone Macbook Neo</t>
  </si>
  <si>
    <t>Iphone Macbook Max</t>
  </si>
  <si>
    <t>Ipad</t>
  </si>
  <si>
    <t>Lenovo  F14 Laptop</t>
  </si>
  <si>
    <t>Acer A17Laptop</t>
  </si>
  <si>
    <t>Asus D19 Leptop</t>
  </si>
  <si>
    <t>Asus D17 Leptop</t>
  </si>
  <si>
    <t>Acer A19Laptop</t>
  </si>
  <si>
    <t>Acer C15Laptop</t>
  </si>
  <si>
    <t>Acer S18Laptop</t>
  </si>
  <si>
    <t>Rahul</t>
  </si>
  <si>
    <t>Urja</t>
  </si>
  <si>
    <t>Arnirudh</t>
  </si>
  <si>
    <t>Ankit</t>
  </si>
  <si>
    <t>Jenil</t>
  </si>
  <si>
    <t>Devansh</t>
  </si>
  <si>
    <t>Rajan</t>
  </si>
  <si>
    <t>Heeyana</t>
  </si>
  <si>
    <t>Prahan</t>
  </si>
  <si>
    <t>Aaira</t>
  </si>
  <si>
    <t>Parth</t>
  </si>
  <si>
    <t>Rishi</t>
  </si>
  <si>
    <t>Deep</t>
  </si>
  <si>
    <t>Raghu</t>
  </si>
  <si>
    <t>Yash</t>
  </si>
  <si>
    <t>Disha</t>
  </si>
  <si>
    <t>Roll No</t>
  </si>
  <si>
    <t>Student Name</t>
  </si>
  <si>
    <t>Maths</t>
  </si>
  <si>
    <t>Science</t>
  </si>
  <si>
    <t>English</t>
  </si>
  <si>
    <t>Percentage</t>
  </si>
  <si>
    <t>Aakash</t>
  </si>
  <si>
    <t>Bhavya</t>
  </si>
  <si>
    <t>Chirag</t>
  </si>
  <si>
    <t>Divya</t>
  </si>
  <si>
    <t>Esha</t>
  </si>
  <si>
    <t>Task-3</t>
  </si>
  <si>
    <t>Obtain Marks</t>
  </si>
  <si>
    <t>Invoice No</t>
  </si>
  <si>
    <t>Date</t>
  </si>
  <si>
    <t>INV001</t>
  </si>
  <si>
    <t>INV002</t>
  </si>
  <si>
    <t>INV003</t>
  </si>
  <si>
    <t>INV004</t>
  </si>
  <si>
    <t>INV005</t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</si>
  <si>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</si>
  <si>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</si>
  <si>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</si>
  <si>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</si>
  <si>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</si>
  <si>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</si>
  <si>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</si>
  <si>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</si>
  <si>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</si>
  <si>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</si>
  <si>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</si>
  <si>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</si>
  <si>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</si>
  <si>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INV019</t>
  </si>
  <si>
    <t>INV020</t>
  </si>
  <si>
    <t>Total Sales</t>
  </si>
  <si>
    <t>Average</t>
  </si>
  <si>
    <t>Task-4</t>
  </si>
  <si>
    <t>Employee Name</t>
  </si>
  <si>
    <t>Suresh</t>
  </si>
  <si>
    <t>Meena</t>
  </si>
  <si>
    <t>Karan</t>
  </si>
  <si>
    <t>Ritu</t>
  </si>
  <si>
    <t>Aman</t>
  </si>
  <si>
    <t>Neel</t>
  </si>
  <si>
    <t>Task-5</t>
  </si>
  <si>
    <t>Total Salary</t>
  </si>
  <si>
    <t>Salary Per Department</t>
  </si>
  <si>
    <t>Average Salary</t>
  </si>
  <si>
    <t>Total Employee</t>
  </si>
  <si>
    <t>Day 1</t>
  </si>
  <si>
    <t>Day 2</t>
  </si>
  <si>
    <t>Day 3</t>
  </si>
  <si>
    <t>Day 4</t>
  </si>
  <si>
    <t>Day 5</t>
  </si>
  <si>
    <t>P</t>
  </si>
  <si>
    <t>A</t>
  </si>
  <si>
    <t>Task-6</t>
  </si>
  <si>
    <t>Preset Day</t>
  </si>
  <si>
    <t>Absent Day</t>
  </si>
  <si>
    <t>Order ID</t>
  </si>
  <si>
    <t>O101</t>
  </si>
  <si>
    <t>O102</t>
  </si>
  <si>
    <t>O103</t>
  </si>
  <si>
    <t>O104</t>
  </si>
  <si>
    <t>O105</t>
  </si>
  <si>
    <t>O106</t>
  </si>
  <si>
    <t>O107</t>
  </si>
  <si>
    <t>O108</t>
  </si>
  <si>
    <t>O109</t>
  </si>
  <si>
    <t>O110</t>
  </si>
  <si>
    <t>O111</t>
  </si>
  <si>
    <t>O112</t>
  </si>
  <si>
    <t>O113</t>
  </si>
  <si>
    <t>O114</t>
  </si>
  <si>
    <t>O115</t>
  </si>
  <si>
    <t>O116</t>
  </si>
  <si>
    <t>O117</t>
  </si>
  <si>
    <t>O118</t>
  </si>
  <si>
    <t>O119</t>
  </si>
  <si>
    <t>O120</t>
  </si>
  <si>
    <t>Below 5000</t>
  </si>
  <si>
    <t>Above 10000</t>
  </si>
  <si>
    <t>Task-7</t>
  </si>
  <si>
    <t>Product</t>
  </si>
  <si>
    <t>Mobile</t>
  </si>
  <si>
    <t>Headphones</t>
  </si>
  <si>
    <t>Laptop</t>
  </si>
  <si>
    <t>Keyboard</t>
  </si>
  <si>
    <t>Tablet</t>
  </si>
  <si>
    <t>Mouse</t>
  </si>
  <si>
    <t>Iphone</t>
  </si>
  <si>
    <t>Printer</t>
  </si>
  <si>
    <t>Moniter</t>
  </si>
  <si>
    <t>CPU</t>
  </si>
  <si>
    <t>USB Hub</t>
  </si>
  <si>
    <t>Projecteor</t>
  </si>
  <si>
    <t>SSD</t>
  </si>
  <si>
    <t>Hard Disc</t>
  </si>
  <si>
    <t>Data Cable</t>
  </si>
  <si>
    <t>Wirless keyboard</t>
  </si>
  <si>
    <t>Wirless Mouse</t>
  </si>
  <si>
    <t>Mouse Pad</t>
  </si>
  <si>
    <t>Wifi Router</t>
  </si>
  <si>
    <t>Paper Shredder</t>
  </si>
  <si>
    <t>Task-8</t>
  </si>
  <si>
    <t>Marks</t>
  </si>
  <si>
    <t>Bharti</t>
  </si>
  <si>
    <t>Chetan</t>
  </si>
  <si>
    <t>Deepa</t>
  </si>
  <si>
    <t>Farhan</t>
  </si>
  <si>
    <t>Task-9</t>
  </si>
  <si>
    <t>Rohit</t>
  </si>
  <si>
    <t>Simran</t>
  </si>
  <si>
    <t>Vijay</t>
  </si>
  <si>
    <t>Nisha</t>
  </si>
  <si>
    <t>Mohan</t>
  </si>
  <si>
    <t>Task-10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</si>
</sst>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₹&quot;\ #,##0.00;[Red]&quot;₹&quot;\ \-#,##0.00"/>
    <numFmt numFmtId="164" formatCode="_ [$₹-4009]\ * #,##0.00_ ;_ [$₹-4009]\ * \-#,##0.00_ ;_ [$₹-4009]\ * &quot;-&quot;??_ ;_ @_ "/>
    <numFmt numFmtId="165" formatCode="[$-F800]dddd\,\ mmmm\ dd\,\ yyyy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Segoe UI"/>
      <family val="2"/>
    </font>
    <font>
      <sz val="12"/>
      <color theme="1"/>
      <name val="Segoe UI"/>
      <family val="2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4"/>
      <name val="Calibri"/>
      <family val="2"/>
      <scheme val="minor"/>
    </font>
    <font>
      <b/>
      <sz val="12"/>
      <color theme="4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</patternFill>
    </fill>
  </fills>
  <borders count="30">
    <border>
      <left/>
      <right/>
      <top/>
      <bottom/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 style="medium">
        <color rgb="FF3D444D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rgb="FF3D444D"/>
      </left>
      <right/>
      <top style="medium">
        <color rgb="FF3D444D"/>
      </top>
      <bottom style="medium">
        <color rgb="FF3D444D"/>
      </bottom>
      <diagonal/>
    </border>
    <border>
      <left/>
      <right/>
      <top style="medium">
        <color rgb="FF3D444D"/>
      </top>
      <bottom style="medium">
        <color rgb="FF3D444D"/>
      </bottom>
      <diagonal/>
    </border>
    <border>
      <left/>
      <right style="medium">
        <color rgb="FF3D444D"/>
      </right>
      <top style="medium">
        <color rgb="FF3D444D"/>
      </top>
      <bottom style="medium">
        <color rgb="FF3D444D"/>
      </bottom>
      <diagonal/>
    </border>
    <border>
      <left style="thin">
        <color rgb="FF3D444D"/>
      </left>
      <right style="thin">
        <color rgb="FF3D444D"/>
      </right>
      <top style="thin">
        <color rgb="FF3D444D"/>
      </top>
      <bottom style="thin">
        <color rgb="FF3D444D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rgb="FF3D444D"/>
      </left>
      <right style="thin">
        <color rgb="FF3D444D"/>
      </right>
      <top style="thin">
        <color rgb="FF3D444D"/>
      </top>
      <bottom/>
      <diagonal/>
    </border>
    <border>
      <left style="thin">
        <color rgb="FF3D444D"/>
      </left>
      <right style="thin">
        <color rgb="FF3D444D"/>
      </right>
      <top/>
      <bottom style="thin">
        <color rgb="FF3D444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0" fontId="5" fillId="3" borderId="4" applyNumberFormat="0" applyFont="0" applyAlignment="0" applyProtection="0"/>
  </cellStyleXfs>
  <cellXfs count="110">
    <xf numFmtId="0" fontId="0" fillId="0" borderId="0" xfId="0"/>
    <xf numFmtId="0" fontId="7" fillId="2" borderId="10" xfId="0" applyFont="1" applyFill="1" applyBorder="1" applyAlignment="1" applyProtection="1">
      <alignment horizontal="center" vertical="center" wrapText="1"/>
      <protection locked="0"/>
    </xf>
    <xf numFmtId="0" fontId="8" fillId="2" borderId="10" xfId="0" applyFont="1" applyFill="1" applyBorder="1" applyAlignment="1" applyProtection="1">
      <alignment horizontal="left" vertical="center" wrapText="1" indent="1"/>
      <protection locked="0"/>
    </xf>
    <xf numFmtId="8" fontId="8" fillId="2" borderId="10" xfId="0" applyNumberFormat="1" applyFont="1" applyFill="1" applyBorder="1" applyAlignment="1" applyProtection="1">
      <alignment horizontal="left" vertical="center" wrapText="1" indent="1"/>
      <protection locked="0"/>
    </xf>
    <xf numFmtId="0" fontId="0" fillId="0" borderId="0" xfId="0" applyProtection="1">
      <protection locked="0"/>
    </xf>
    <xf numFmtId="0" fontId="2" fillId="2" borderId="10" xfId="0" applyFont="1" applyFill="1" applyBorder="1" applyAlignment="1" applyProtection="1">
      <alignment horizontal="left" vertical="center" wrapText="1" indent="1"/>
      <protection locked="0"/>
    </xf>
    <xf numFmtId="0" fontId="1" fillId="2" borderId="10" xfId="0" applyFont="1" applyFill="1" applyBorder="1" applyAlignment="1" applyProtection="1">
      <alignment horizontal="left" vertical="center" wrapText="1" indent="1"/>
      <protection locked="0"/>
    </xf>
    <xf numFmtId="164" fontId="2" fillId="2" borderId="10" xfId="0" applyNumberFormat="1" applyFont="1" applyFill="1" applyBorder="1" applyAlignment="1" applyProtection="1">
      <alignment horizontal="left" vertical="center" wrapText="1" indent="1"/>
      <protection locked="0"/>
    </xf>
    <xf numFmtId="165" fontId="8" fillId="2" borderId="10" xfId="0" applyNumberFormat="1" applyFont="1" applyFill="1" applyBorder="1" applyAlignment="1" applyProtection="1">
      <alignment horizontal="left" vertical="center" wrapText="1" indent="1"/>
      <protection locked="0"/>
    </xf>
    <xf numFmtId="0" fontId="7" fillId="2" borderId="0" xfId="0" applyFont="1" applyFill="1" applyBorder="1" applyAlignment="1" applyProtection="1">
      <alignment horizontal="center" vertical="center" wrapText="1"/>
      <protection locked="0"/>
    </xf>
    <xf numFmtId="165" fontId="8" fillId="2" borderId="0" xfId="0" applyNumberFormat="1" applyFont="1" applyFill="1" applyBorder="1" applyAlignment="1" applyProtection="1">
      <alignment horizontal="left" vertical="center" wrapText="1" indent="1"/>
      <protection locked="0"/>
    </xf>
    <xf numFmtId="0" fontId="9" fillId="2" borderId="10" xfId="0" applyFont="1" applyFill="1" applyBorder="1" applyAlignment="1">
      <alignment horizontal="center" wrapText="1"/>
    </xf>
    <xf numFmtId="9" fontId="9" fillId="2" borderId="10" xfId="1" applyFont="1" applyFill="1" applyBorder="1" applyAlignment="1">
      <alignment horizontal="center" wrapText="1"/>
    </xf>
    <xf numFmtId="0" fontId="9" fillId="2" borderId="10" xfId="0" applyFont="1" applyFill="1" applyBorder="1" applyAlignment="1" applyProtection="1">
      <alignment horizontal="center" wrapText="1"/>
      <protection locked="0"/>
    </xf>
    <xf numFmtId="0" fontId="0" fillId="0" borderId="10" xfId="0" applyFont="1" applyBorder="1" applyAlignment="1">
      <alignment horizontal="center"/>
    </xf>
    <xf numFmtId="9" fontId="0" fillId="0" borderId="10" xfId="1" applyFont="1" applyBorder="1" applyAlignment="1">
      <alignment horizontal="center"/>
    </xf>
    <xf numFmtId="0" fontId="10" fillId="3" borderId="4" xfId="2" applyFont="1" applyAlignment="1">
      <alignment horizontal="center" wrapText="1"/>
    </xf>
    <xf numFmtId="0" fontId="9" fillId="2" borderId="10" xfId="0" applyFont="1" applyFill="1" applyBorder="1" applyAlignment="1" applyProtection="1">
      <alignment horizontal="left" vertical="center" wrapText="1" indent="1"/>
    </xf>
    <xf numFmtId="14" fontId="9" fillId="2" borderId="10" xfId="0" applyNumberFormat="1" applyFont="1" applyFill="1" applyBorder="1" applyAlignment="1" applyProtection="1">
      <alignment horizontal="left" vertical="center" wrapText="1" indent="1"/>
    </xf>
    <xf numFmtId="0" fontId="9" fillId="2" borderId="10" xfId="0" applyFont="1" applyFill="1" applyBorder="1" applyAlignment="1" applyProtection="1">
      <alignment horizontal="center" vertical="center" wrapText="1"/>
    </xf>
    <xf numFmtId="0" fontId="9" fillId="0" borderId="10" xfId="0" applyFont="1" applyBorder="1" applyAlignment="1" applyProtection="1">
      <alignment horizontal="center"/>
    </xf>
    <xf numFmtId="14" fontId="9" fillId="2" borderId="12" xfId="0" applyNumberFormat="1" applyFont="1" applyFill="1" applyBorder="1" applyAlignment="1" applyProtection="1">
      <alignment horizontal="left" vertical="center" wrapText="1" indent="1"/>
    </xf>
    <xf numFmtId="0" fontId="9" fillId="0" borderId="12" xfId="0" applyFont="1" applyBorder="1" applyAlignment="1" applyProtection="1">
      <alignment horizontal="center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3" xfId="0" applyFont="1" applyFill="1" applyBorder="1" applyAlignment="1" applyProtection="1">
      <alignment horizontal="left" vertical="center" wrapText="1" indent="1"/>
      <protection locked="0"/>
    </xf>
    <xf numFmtId="164" fontId="2" fillId="2" borderId="13" xfId="0" applyNumberFormat="1" applyFont="1" applyFill="1" applyBorder="1" applyAlignment="1" applyProtection="1">
      <alignment horizontal="left" vertical="center" wrapText="1" indent="1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4" fillId="2" borderId="14" xfId="0" applyFont="1" applyFill="1" applyBorder="1" applyAlignment="1" applyProtection="1">
      <alignment horizontal="center" wrapText="1"/>
      <protection locked="0"/>
    </xf>
    <xf numFmtId="0" fontId="9" fillId="2" borderId="15" xfId="0" applyFont="1" applyFill="1" applyBorder="1" applyAlignment="1" applyProtection="1">
      <alignment horizontal="left" vertical="center" wrapText="1" indent="1"/>
      <protection locked="0"/>
    </xf>
    <xf numFmtId="0" fontId="8" fillId="2" borderId="15" xfId="0" applyFont="1" applyFill="1" applyBorder="1" applyAlignment="1" applyProtection="1">
      <alignment horizontal="left" vertical="center" wrapText="1" indent="1"/>
      <protection locked="0"/>
    </xf>
    <xf numFmtId="0" fontId="9" fillId="2" borderId="18" xfId="0" applyFont="1" applyFill="1" applyBorder="1" applyAlignment="1" applyProtection="1">
      <alignment horizontal="left" vertical="center" wrapText="1" indent="1"/>
      <protection locked="0"/>
    </xf>
    <xf numFmtId="0" fontId="2" fillId="2" borderId="18" xfId="0" applyFont="1" applyFill="1" applyBorder="1" applyAlignment="1" applyProtection="1">
      <alignment horizontal="left" vertical="center" wrapText="1" indent="1"/>
      <protection locked="0"/>
    </xf>
    <xf numFmtId="0" fontId="1" fillId="2" borderId="18" xfId="0" applyFont="1" applyFill="1" applyBorder="1" applyAlignment="1" applyProtection="1">
      <alignment horizontal="left" vertical="center" wrapText="1" indent="1"/>
      <protection locked="0"/>
    </xf>
    <xf numFmtId="0" fontId="1" fillId="2" borderId="20" xfId="0" applyFont="1" applyFill="1" applyBorder="1" applyAlignment="1" applyProtection="1">
      <alignment horizontal="left" vertical="center" wrapText="1" indent="1"/>
      <protection locked="0"/>
    </xf>
    <xf numFmtId="0" fontId="8" fillId="2" borderId="21" xfId="0" applyFont="1" applyFill="1" applyBorder="1" applyAlignment="1" applyProtection="1">
      <alignment horizontal="left" vertical="center" wrapText="1" indent="1"/>
      <protection locked="0"/>
    </xf>
    <xf numFmtId="0" fontId="9" fillId="2" borderId="19" xfId="0" applyFont="1" applyFill="1" applyBorder="1" applyAlignment="1" applyProtection="1">
      <alignment horizontal="center" vertical="center" wrapText="1"/>
      <protection locked="0"/>
    </xf>
    <xf numFmtId="0" fontId="0" fillId="0" borderId="19" xfId="0" applyBorder="1" applyAlignment="1" applyProtection="1">
      <alignment horizontal="center"/>
      <protection locked="0"/>
    </xf>
    <xf numFmtId="0" fontId="0" fillId="0" borderId="22" xfId="0" applyBorder="1" applyAlignment="1" applyProtection="1">
      <alignment horizontal="center"/>
      <protection locked="0"/>
    </xf>
    <xf numFmtId="0" fontId="9" fillId="2" borderId="16" xfId="0" applyFont="1" applyFill="1" applyBorder="1" applyAlignment="1" applyProtection="1">
      <alignment horizontal="center" vertical="center" wrapText="1"/>
    </xf>
    <xf numFmtId="0" fontId="9" fillId="2" borderId="18" xfId="0" applyFont="1" applyFill="1" applyBorder="1" applyAlignment="1" applyProtection="1">
      <alignment horizontal="center" vertical="center" wrapText="1"/>
    </xf>
    <xf numFmtId="0" fontId="9" fillId="2" borderId="20" xfId="0" applyFont="1" applyFill="1" applyBorder="1" applyAlignment="1" applyProtection="1">
      <alignment horizontal="center" vertical="center" wrapText="1"/>
    </xf>
    <xf numFmtId="0" fontId="9" fillId="2" borderId="23" xfId="0" applyFont="1" applyFill="1" applyBorder="1" applyAlignment="1" applyProtection="1">
      <alignment horizontal="left" vertical="center" wrapText="1" indent="1"/>
      <protection locked="0"/>
    </xf>
    <xf numFmtId="0" fontId="9" fillId="2" borderId="24" xfId="0" applyFont="1" applyFill="1" applyBorder="1" applyAlignment="1" applyProtection="1">
      <alignment horizontal="left" vertical="center" wrapText="1" indent="1"/>
      <protection locked="0"/>
    </xf>
    <xf numFmtId="0" fontId="9" fillId="2" borderId="25" xfId="0" applyFont="1" applyFill="1" applyBorder="1" applyAlignment="1" applyProtection="1">
      <alignment horizontal="center" vertical="center" wrapText="1"/>
      <protection locked="0"/>
    </xf>
    <xf numFmtId="0" fontId="9" fillId="2" borderId="14" xfId="0" applyFont="1" applyFill="1" applyBorder="1" applyAlignment="1" applyProtection="1">
      <alignment horizontal="center" vertical="center" wrapText="1"/>
      <protection locked="0"/>
    </xf>
    <xf numFmtId="0" fontId="9" fillId="2" borderId="13" xfId="0" applyFont="1" applyFill="1" applyBorder="1" applyAlignment="1" applyProtection="1">
      <alignment horizontal="left" vertical="center" wrapText="1" indent="1"/>
    </xf>
    <xf numFmtId="14" fontId="9" fillId="2" borderId="13" xfId="0" applyNumberFormat="1" applyFont="1" applyFill="1" applyBorder="1" applyAlignment="1" applyProtection="1">
      <alignment horizontal="left" vertical="center" wrapText="1" indent="1"/>
    </xf>
    <xf numFmtId="0" fontId="9" fillId="2" borderId="13" xfId="0" applyFont="1" applyFill="1" applyBorder="1" applyAlignment="1" applyProtection="1">
      <alignment horizontal="center" vertical="center" wrapText="1"/>
    </xf>
    <xf numFmtId="0" fontId="10" fillId="2" borderId="1" xfId="0" applyFont="1" applyFill="1" applyBorder="1" applyAlignment="1" applyProtection="1">
      <alignment horizontal="center" vertical="center" wrapText="1"/>
    </xf>
    <xf numFmtId="0" fontId="9" fillId="2" borderId="26" xfId="0" applyFont="1" applyFill="1" applyBorder="1" applyAlignment="1" applyProtection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9" fillId="0" borderId="17" xfId="0" applyFont="1" applyBorder="1" applyAlignment="1" applyProtection="1">
      <alignment horizontal="center" vertical="center"/>
    </xf>
    <xf numFmtId="0" fontId="9" fillId="0" borderId="19" xfId="0" applyFont="1" applyBorder="1" applyAlignment="1" applyProtection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3" fillId="2" borderId="18" xfId="0" applyFont="1" applyFill="1" applyBorder="1" applyAlignment="1" applyProtection="1">
      <alignment horizontal="center" vertical="center" wrapText="1"/>
      <protection locked="0"/>
    </xf>
    <xf numFmtId="0" fontId="13" fillId="2" borderId="15" xfId="0" applyFont="1" applyFill="1" applyBorder="1" applyAlignment="1" applyProtection="1">
      <alignment horizontal="center" vertical="center" wrapText="1"/>
      <protection locked="0"/>
    </xf>
    <xf numFmtId="0" fontId="13" fillId="2" borderId="19" xfId="0" applyFont="1" applyFill="1" applyBorder="1" applyAlignment="1" applyProtection="1">
      <alignment horizontal="center" vertical="center" wrapText="1"/>
      <protection locked="0"/>
    </xf>
    <xf numFmtId="0" fontId="9" fillId="2" borderId="18" xfId="0" applyFont="1" applyFill="1" applyBorder="1" applyAlignment="1" applyProtection="1">
      <alignment horizontal="center" vertical="center" wrapText="1"/>
      <protection locked="0"/>
    </xf>
    <xf numFmtId="0" fontId="2" fillId="2" borderId="18" xfId="0" applyFont="1" applyFill="1" applyBorder="1" applyAlignment="1" applyProtection="1">
      <alignment horizontal="center" vertical="center" wrapText="1"/>
      <protection locked="0"/>
    </xf>
    <xf numFmtId="0" fontId="1" fillId="2" borderId="18" xfId="0" applyFont="1" applyFill="1" applyBorder="1" applyAlignment="1" applyProtection="1">
      <alignment horizontal="center" vertical="center" wrapText="1"/>
      <protection locked="0"/>
    </xf>
    <xf numFmtId="0" fontId="1" fillId="2" borderId="20" xfId="0" applyFont="1" applyFill="1" applyBorder="1" applyAlignment="1" applyProtection="1">
      <alignment horizontal="center" vertical="center" wrapText="1"/>
      <protection locked="0"/>
    </xf>
    <xf numFmtId="0" fontId="13" fillId="2" borderId="21" xfId="0" applyFont="1" applyFill="1" applyBorder="1" applyAlignment="1" applyProtection="1">
      <alignment horizontal="center" vertical="center" wrapText="1"/>
      <protection locked="0"/>
    </xf>
    <xf numFmtId="0" fontId="13" fillId="2" borderId="22" xfId="0" applyFont="1" applyFill="1" applyBorder="1" applyAlignment="1" applyProtection="1">
      <alignment horizontal="center" vertical="center" wrapText="1"/>
      <protection locked="0"/>
    </xf>
    <xf numFmtId="0" fontId="13" fillId="2" borderId="23" xfId="0" applyFont="1" applyFill="1" applyBorder="1" applyAlignment="1" applyProtection="1">
      <alignment horizontal="center" vertical="center" wrapText="1"/>
      <protection locked="0"/>
    </xf>
    <xf numFmtId="0" fontId="13" fillId="2" borderId="24" xfId="0" applyFont="1" applyFill="1" applyBorder="1" applyAlignment="1" applyProtection="1">
      <alignment horizontal="center" vertical="center" wrapText="1"/>
      <protection locked="0"/>
    </xf>
    <xf numFmtId="0" fontId="13" fillId="2" borderId="25" xfId="0" applyFont="1" applyFill="1" applyBorder="1" applyAlignment="1" applyProtection="1">
      <alignment horizontal="center" vertical="center" wrapText="1"/>
      <protection locked="0"/>
    </xf>
    <xf numFmtId="0" fontId="12" fillId="2" borderId="14" xfId="0" applyFont="1" applyFill="1" applyBorder="1" applyAlignment="1" applyProtection="1">
      <alignment horizontal="center" vertical="center" wrapText="1"/>
      <protection locked="0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5" xfId="0" applyFont="1" applyBorder="1" applyAlignment="1" applyProtection="1">
      <alignment horizontal="center"/>
      <protection locked="0"/>
    </xf>
    <xf numFmtId="0" fontId="4" fillId="0" borderId="6" xfId="0" applyFont="1" applyBorder="1" applyAlignment="1" applyProtection="1">
      <alignment horizont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14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 indent="1"/>
    </xf>
    <xf numFmtId="0" fontId="9" fillId="2" borderId="14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4" fillId="2" borderId="16" xfId="0" applyFont="1" applyFill="1" applyBorder="1" applyAlignment="1" applyProtection="1">
      <alignment horizontal="center" vertical="center" wrapText="1"/>
      <protection locked="0"/>
    </xf>
    <xf numFmtId="0" fontId="14" fillId="2" borderId="17" xfId="0" applyFont="1" applyFill="1" applyBorder="1" applyAlignment="1" applyProtection="1">
      <alignment horizontal="center" vertical="center" wrapText="1"/>
      <protection locked="0"/>
    </xf>
    <xf numFmtId="0" fontId="9" fillId="2" borderId="19" xfId="0" applyFont="1" applyFill="1" applyBorder="1" applyAlignment="1" applyProtection="1">
      <alignment horizontal="left" vertical="center" wrapText="1" indent="1"/>
      <protection locked="0"/>
    </xf>
    <xf numFmtId="0" fontId="9" fillId="2" borderId="20" xfId="0" applyFont="1" applyFill="1" applyBorder="1" applyAlignment="1" applyProtection="1">
      <alignment horizontal="left" vertical="center" wrapText="1" indent="1"/>
      <protection locked="0"/>
    </xf>
    <xf numFmtId="0" fontId="9" fillId="2" borderId="22" xfId="0" applyFont="1" applyFill="1" applyBorder="1" applyAlignment="1" applyProtection="1">
      <alignment horizontal="left" vertical="center" wrapText="1" indent="1"/>
      <protection locked="0"/>
    </xf>
    <xf numFmtId="0" fontId="9" fillId="2" borderId="18" xfId="0" applyFont="1" applyFill="1" applyBorder="1" applyAlignment="1" applyProtection="1">
      <alignment horizontal="center" wrapText="1"/>
      <protection locked="0"/>
    </xf>
    <xf numFmtId="0" fontId="9" fillId="2" borderId="15" xfId="0" applyFont="1" applyFill="1" applyBorder="1" applyAlignment="1" applyProtection="1">
      <alignment horizontal="center" wrapText="1"/>
      <protection locked="0"/>
    </xf>
    <xf numFmtId="0" fontId="13" fillId="2" borderId="15" xfId="0" applyFont="1" applyFill="1" applyBorder="1" applyAlignment="1" applyProtection="1">
      <alignment horizontal="center" wrapText="1"/>
      <protection locked="0"/>
    </xf>
    <xf numFmtId="0" fontId="2" fillId="2" borderId="15" xfId="0" applyFont="1" applyFill="1" applyBorder="1" applyAlignment="1" applyProtection="1">
      <alignment horizontal="center" wrapText="1"/>
      <protection locked="0"/>
    </xf>
    <xf numFmtId="0" fontId="1" fillId="2" borderId="15" xfId="0" applyFont="1" applyFill="1" applyBorder="1" applyAlignment="1" applyProtection="1">
      <alignment horizontal="center" wrapText="1"/>
      <protection locked="0"/>
    </xf>
    <xf numFmtId="0" fontId="14" fillId="2" borderId="16" xfId="0" applyFont="1" applyFill="1" applyBorder="1" applyAlignment="1" applyProtection="1">
      <alignment horizontal="center" wrapText="1"/>
      <protection locked="0"/>
    </xf>
    <xf numFmtId="0" fontId="14" fillId="2" borderId="29" xfId="0" applyFont="1" applyFill="1" applyBorder="1" applyAlignment="1" applyProtection="1">
      <alignment horizontal="center" wrapText="1"/>
      <protection locked="0"/>
    </xf>
    <xf numFmtId="0" fontId="14" fillId="2" borderId="17" xfId="0" applyFont="1" applyFill="1" applyBorder="1" applyAlignment="1" applyProtection="1">
      <alignment horizontal="center" wrapText="1"/>
      <protection locked="0"/>
    </xf>
    <xf numFmtId="0" fontId="9" fillId="2" borderId="19" xfId="0" applyFont="1" applyFill="1" applyBorder="1" applyAlignment="1" applyProtection="1">
      <alignment horizontal="center" wrapText="1"/>
      <protection locked="0"/>
    </xf>
    <xf numFmtId="0" fontId="9" fillId="2" borderId="20" xfId="0" applyFont="1" applyFill="1" applyBorder="1" applyAlignment="1" applyProtection="1">
      <alignment horizontal="center" wrapText="1"/>
      <protection locked="0"/>
    </xf>
    <xf numFmtId="0" fontId="1" fillId="2" borderId="21" xfId="0" applyFont="1" applyFill="1" applyBorder="1" applyAlignment="1" applyProtection="1">
      <alignment horizontal="center" wrapText="1"/>
      <protection locked="0"/>
    </xf>
    <xf numFmtId="0" fontId="9" fillId="2" borderId="20" xfId="0" applyFont="1" applyFill="1" applyBorder="1" applyAlignment="1" applyProtection="1">
      <alignment horizontal="center" vertical="center" wrapText="1"/>
      <protection locked="0"/>
    </xf>
    <xf numFmtId="0" fontId="9" fillId="2" borderId="22" xfId="0" applyFont="1" applyFill="1" applyBorder="1" applyAlignment="1" applyProtection="1">
      <alignment horizontal="center" vertical="center" wrapText="1"/>
      <protection locked="0"/>
    </xf>
    <xf numFmtId="0" fontId="4" fillId="0" borderId="14" xfId="0" applyFont="1" applyBorder="1" applyAlignment="1">
      <alignment horizontal="center" vertical="center"/>
    </xf>
  </cellXfs>
  <cellStyles count="3">
    <cellStyle name="Normal" xfId="0" builtinId="0"/>
    <cellStyle name="Note" xfId="2" builtinId="10"/>
    <cellStyle name="Percent" xfId="1" builtinId="5"/>
  </cellStyles>
  <dxfs count="55">
    <dxf>
      <fill>
        <patternFill>
          <bgColor theme="9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9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theme="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theme="7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theme="7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/>
        </patternFill>
      </fill>
    </dxf>
    <dxf>
      <fill>
        <patternFill>
          <bgColor theme="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/>
        </patternFill>
      </fill>
    </dxf>
    <dxf>
      <fill>
        <patternFill>
          <bgColor theme="4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/>
        </patternFill>
      </fill>
    </dxf>
    <dxf>
      <fill>
        <patternFill>
          <bgColor theme="4"/>
        </patternFill>
      </fill>
    </dxf>
    <dxf>
      <fill>
        <patternFill>
          <bgColor theme="7"/>
        </patternFill>
      </fill>
    </dxf>
    <dxf>
      <fill>
        <patternFill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A42F6-160A-45CD-86F4-AF7E1523F483}">
  <dimension ref="A1:K149"/>
  <sheetViews>
    <sheetView tabSelected="1" topLeftCell="A146" workbookViewId="0">
      <selection activeCell="C132" sqref="C132"/>
    </sheetView>
  </sheetViews>
  <sheetFormatPr defaultRowHeight="15" x14ac:dyDescent="0.25"/>
  <cols>
    <col min="1" max="1" width="12.42578125" customWidth="1"/>
    <col min="2" max="2" width="14.42578125" customWidth="1"/>
    <col min="3" max="3" width="16" customWidth="1"/>
    <col min="4" max="4" width="14.42578125" bestFit="1" customWidth="1"/>
    <col min="5" max="5" width="17.5703125" bestFit="1" customWidth="1"/>
    <col min="6" max="6" width="17.5703125" customWidth="1"/>
    <col min="7" max="7" width="13.42578125" customWidth="1"/>
    <col min="8" max="8" width="16.42578125" customWidth="1"/>
    <col min="10" max="10" width="15.5703125" bestFit="1" customWidth="1"/>
    <col min="11" max="11" width="13.5703125" customWidth="1"/>
  </cols>
  <sheetData>
    <row r="1" spans="1:11" ht="19.5" thickBot="1" x14ac:dyDescent="0.35">
      <c r="B1" s="75" t="s">
        <v>19</v>
      </c>
      <c r="C1" s="76"/>
      <c r="H1" s="4"/>
      <c r="I1" s="77" t="s">
        <v>67</v>
      </c>
      <c r="J1" s="78"/>
      <c r="K1" s="4"/>
    </row>
    <row r="2" spans="1:11" ht="27" thickBot="1" x14ac:dyDescent="0.3">
      <c r="H2" s="79" t="s">
        <v>68</v>
      </c>
      <c r="I2" s="80"/>
      <c r="J2" s="80"/>
      <c r="K2" s="81"/>
    </row>
    <row r="3" spans="1:11" ht="51.75" customHeight="1" thickBot="1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9"/>
      <c r="H3" s="27" t="s">
        <v>51</v>
      </c>
      <c r="I3" s="27" t="s">
        <v>52</v>
      </c>
      <c r="J3" s="27" t="s">
        <v>53</v>
      </c>
      <c r="K3" s="27" t="s">
        <v>54</v>
      </c>
    </row>
    <row r="4" spans="1:11" ht="34.5" x14ac:dyDescent="0.25">
      <c r="A4" s="2" t="s">
        <v>5</v>
      </c>
      <c r="B4" s="2" t="s">
        <v>6</v>
      </c>
      <c r="C4" s="2" t="s">
        <v>7</v>
      </c>
      <c r="D4" s="3">
        <f ca="1">RANDBETWEEN(20000,50000)</f>
        <v>37652</v>
      </c>
      <c r="E4" s="8">
        <v>44573</v>
      </c>
      <c r="F4" s="10"/>
      <c r="H4" s="25" t="s">
        <v>55</v>
      </c>
      <c r="I4" s="25" t="s">
        <v>56</v>
      </c>
      <c r="J4" s="26">
        <f ca="1">RANDBETWEEN(20000,90000)</f>
        <v>68741</v>
      </c>
      <c r="K4" s="25" t="s">
        <v>57</v>
      </c>
    </row>
    <row r="5" spans="1:11" ht="34.5" x14ac:dyDescent="0.25">
      <c r="A5" s="2" t="s">
        <v>8</v>
      </c>
      <c r="B5" s="2" t="s">
        <v>9</v>
      </c>
      <c r="C5" s="2" t="s">
        <v>10</v>
      </c>
      <c r="D5" s="3">
        <f t="shared" ref="D5:D23" ca="1" si="0">RANDBETWEEN(20000,50000)</f>
        <v>42622</v>
      </c>
      <c r="E5" s="8">
        <v>44574</v>
      </c>
      <c r="F5" s="10"/>
      <c r="H5" s="5" t="s">
        <v>58</v>
      </c>
      <c r="I5" s="5" t="s">
        <v>59</v>
      </c>
      <c r="J5" s="7">
        <f t="shared" ref="J5:J23" ca="1" si="1">RANDBETWEEN(20000,90000)</f>
        <v>56200</v>
      </c>
      <c r="K5" s="5" t="s">
        <v>60</v>
      </c>
    </row>
    <row r="6" spans="1:11" ht="34.5" x14ac:dyDescent="0.25">
      <c r="A6" s="2" t="s">
        <v>11</v>
      </c>
      <c r="B6" s="2" t="s">
        <v>12</v>
      </c>
      <c r="C6" s="2" t="s">
        <v>13</v>
      </c>
      <c r="D6" s="3">
        <f t="shared" ca="1" si="0"/>
        <v>37207</v>
      </c>
      <c r="E6" s="8">
        <v>44575</v>
      </c>
      <c r="F6" s="10"/>
      <c r="H6" s="5" t="s">
        <v>61</v>
      </c>
      <c r="I6" s="5" t="s">
        <v>62</v>
      </c>
      <c r="J6" s="7">
        <f t="shared" ca="1" si="1"/>
        <v>53570</v>
      </c>
      <c r="K6" s="5" t="s">
        <v>63</v>
      </c>
    </row>
    <row r="7" spans="1:11" ht="51.75" x14ac:dyDescent="0.25">
      <c r="A7" s="2" t="s">
        <v>14</v>
      </c>
      <c r="B7" s="2" t="s">
        <v>15</v>
      </c>
      <c r="C7" s="2" t="s">
        <v>10</v>
      </c>
      <c r="D7" s="3">
        <f t="shared" ca="1" si="0"/>
        <v>48397</v>
      </c>
      <c r="E7" s="8">
        <v>44576</v>
      </c>
      <c r="F7" s="10"/>
      <c r="H7" s="5" t="s">
        <v>64</v>
      </c>
      <c r="I7" s="5" t="s">
        <v>65</v>
      </c>
      <c r="J7" s="7">
        <f t="shared" ca="1" si="1"/>
        <v>28906</v>
      </c>
      <c r="K7" s="5" t="s">
        <v>66</v>
      </c>
    </row>
    <row r="8" spans="1:11" ht="51.75" x14ac:dyDescent="0.25">
      <c r="A8" s="2" t="s">
        <v>16</v>
      </c>
      <c r="B8" s="2" t="s">
        <v>17</v>
      </c>
      <c r="C8" s="2" t="s">
        <v>18</v>
      </c>
      <c r="D8" s="3">
        <f t="shared" ca="1" si="0"/>
        <v>23922</v>
      </c>
      <c r="E8" s="8">
        <v>44577</v>
      </c>
      <c r="F8" s="10"/>
      <c r="H8" s="6" t="s">
        <v>69</v>
      </c>
      <c r="I8" s="6" t="s">
        <v>56</v>
      </c>
      <c r="J8" s="7">
        <f t="shared" ca="1" si="1"/>
        <v>45876</v>
      </c>
      <c r="K8" s="6" t="s">
        <v>85</v>
      </c>
    </row>
    <row r="9" spans="1:11" ht="34.5" x14ac:dyDescent="0.25">
      <c r="A9" s="2" t="s">
        <v>20</v>
      </c>
      <c r="B9" s="2" t="s">
        <v>35</v>
      </c>
      <c r="C9" s="2" t="s">
        <v>50</v>
      </c>
      <c r="D9" s="3">
        <f t="shared" ca="1" si="0"/>
        <v>24024</v>
      </c>
      <c r="E9" s="8">
        <v>44578</v>
      </c>
      <c r="F9" s="10"/>
      <c r="H9" s="6" t="s">
        <v>70</v>
      </c>
      <c r="I9" s="6" t="s">
        <v>59</v>
      </c>
      <c r="J9" s="7">
        <f t="shared" ca="1" si="1"/>
        <v>21967</v>
      </c>
      <c r="K9" s="6" t="s">
        <v>86</v>
      </c>
    </row>
    <row r="10" spans="1:11" ht="34.5" x14ac:dyDescent="0.25">
      <c r="A10" s="2" t="s">
        <v>21</v>
      </c>
      <c r="B10" s="2" t="s">
        <v>36</v>
      </c>
      <c r="C10" s="2" t="s">
        <v>7</v>
      </c>
      <c r="D10" s="3">
        <f t="shared" ca="1" si="0"/>
        <v>45910</v>
      </c>
      <c r="E10" s="8">
        <v>44579</v>
      </c>
      <c r="F10" s="10"/>
      <c r="H10" s="6" t="s">
        <v>71</v>
      </c>
      <c r="I10" s="6" t="s">
        <v>62</v>
      </c>
      <c r="J10" s="7">
        <f t="shared" ca="1" si="1"/>
        <v>55427</v>
      </c>
      <c r="K10" s="6" t="s">
        <v>87</v>
      </c>
    </row>
    <row r="11" spans="1:11" ht="34.5" x14ac:dyDescent="0.25">
      <c r="A11" s="2" t="s">
        <v>22</v>
      </c>
      <c r="B11" s="2" t="s">
        <v>37</v>
      </c>
      <c r="C11" s="2" t="s">
        <v>10</v>
      </c>
      <c r="D11" s="3">
        <f t="shared" ca="1" si="0"/>
        <v>38332</v>
      </c>
      <c r="E11" s="8">
        <v>44580</v>
      </c>
      <c r="F11" s="10"/>
      <c r="H11" s="6" t="s">
        <v>72</v>
      </c>
      <c r="I11" s="6" t="s">
        <v>65</v>
      </c>
      <c r="J11" s="7">
        <f t="shared" ca="1" si="1"/>
        <v>37785</v>
      </c>
      <c r="K11" s="6" t="s">
        <v>88</v>
      </c>
    </row>
    <row r="12" spans="1:11" ht="34.5" x14ac:dyDescent="0.25">
      <c r="A12" s="2" t="s">
        <v>23</v>
      </c>
      <c r="B12" s="2" t="s">
        <v>38</v>
      </c>
      <c r="C12" s="2" t="s">
        <v>18</v>
      </c>
      <c r="D12" s="3">
        <f t="shared" ca="1" si="0"/>
        <v>26920</v>
      </c>
      <c r="E12" s="8">
        <v>44581</v>
      </c>
      <c r="F12" s="10"/>
      <c r="H12" s="6" t="s">
        <v>73</v>
      </c>
      <c r="I12" s="6" t="s">
        <v>56</v>
      </c>
      <c r="J12" s="7">
        <f t="shared" ca="1" si="1"/>
        <v>44175</v>
      </c>
      <c r="K12" s="6" t="s">
        <v>89</v>
      </c>
    </row>
    <row r="13" spans="1:11" ht="34.5" x14ac:dyDescent="0.25">
      <c r="A13" s="2" t="s">
        <v>24</v>
      </c>
      <c r="B13" s="2" t="s">
        <v>39</v>
      </c>
      <c r="C13" s="2" t="s">
        <v>13</v>
      </c>
      <c r="D13" s="3">
        <f t="shared" ca="1" si="0"/>
        <v>21994</v>
      </c>
      <c r="E13" s="8">
        <v>44582</v>
      </c>
      <c r="F13" s="10"/>
      <c r="H13" s="6" t="s">
        <v>74</v>
      </c>
      <c r="I13" s="6" t="s">
        <v>59</v>
      </c>
      <c r="J13" s="7">
        <f t="shared" ca="1" si="1"/>
        <v>80942</v>
      </c>
      <c r="K13" s="6" t="s">
        <v>90</v>
      </c>
    </row>
    <row r="14" spans="1:11" ht="51.75" x14ac:dyDescent="0.25">
      <c r="A14" s="2" t="s">
        <v>25</v>
      </c>
      <c r="B14" s="2" t="s">
        <v>40</v>
      </c>
      <c r="C14" s="2" t="s">
        <v>50</v>
      </c>
      <c r="D14" s="3">
        <f t="shared" ca="1" si="0"/>
        <v>48218</v>
      </c>
      <c r="E14" s="8">
        <v>44583</v>
      </c>
      <c r="F14" s="10"/>
      <c r="H14" s="6" t="s">
        <v>75</v>
      </c>
      <c r="I14" s="6" t="s">
        <v>62</v>
      </c>
      <c r="J14" s="7">
        <f t="shared" ca="1" si="1"/>
        <v>22072</v>
      </c>
      <c r="K14" s="6" t="s">
        <v>91</v>
      </c>
    </row>
    <row r="15" spans="1:11" ht="51.75" x14ac:dyDescent="0.25">
      <c r="A15" s="2" t="s">
        <v>26</v>
      </c>
      <c r="B15" s="2" t="s">
        <v>41</v>
      </c>
      <c r="C15" s="2" t="s">
        <v>10</v>
      </c>
      <c r="D15" s="3">
        <f t="shared" ca="1" si="0"/>
        <v>32531</v>
      </c>
      <c r="E15" s="8">
        <v>44584</v>
      </c>
      <c r="F15" s="10"/>
      <c r="H15" s="6" t="s">
        <v>76</v>
      </c>
      <c r="I15" s="6" t="s">
        <v>65</v>
      </c>
      <c r="J15" s="7">
        <f t="shared" ca="1" si="1"/>
        <v>77136</v>
      </c>
      <c r="K15" s="6" t="s">
        <v>92</v>
      </c>
    </row>
    <row r="16" spans="1:11" ht="17.25" x14ac:dyDescent="0.25">
      <c r="A16" s="2" t="s">
        <v>27</v>
      </c>
      <c r="B16" s="2" t="s">
        <v>42</v>
      </c>
      <c r="C16" s="2" t="s">
        <v>13</v>
      </c>
      <c r="D16" s="3">
        <f t="shared" ca="1" si="0"/>
        <v>24119</v>
      </c>
      <c r="E16" s="8">
        <v>44585</v>
      </c>
      <c r="F16" s="10"/>
      <c r="H16" s="6" t="s">
        <v>77</v>
      </c>
      <c r="I16" s="6" t="s">
        <v>56</v>
      </c>
      <c r="J16" s="7">
        <f t="shared" ca="1" si="1"/>
        <v>76226</v>
      </c>
      <c r="K16" s="6" t="s">
        <v>93</v>
      </c>
    </row>
    <row r="17" spans="1:11" ht="34.5" x14ac:dyDescent="0.25">
      <c r="A17" s="2" t="s">
        <v>28</v>
      </c>
      <c r="B17" s="2" t="s">
        <v>43</v>
      </c>
      <c r="C17" s="2" t="s">
        <v>18</v>
      </c>
      <c r="D17" s="3">
        <f t="shared" ca="1" si="0"/>
        <v>31611</v>
      </c>
      <c r="E17" s="8">
        <v>44586</v>
      </c>
      <c r="F17" s="10"/>
      <c r="H17" s="6" t="s">
        <v>78</v>
      </c>
      <c r="I17" s="6" t="s">
        <v>59</v>
      </c>
      <c r="J17" s="7">
        <f t="shared" ca="1" si="1"/>
        <v>23592</v>
      </c>
      <c r="K17" s="6" t="s">
        <v>94</v>
      </c>
    </row>
    <row r="18" spans="1:11" ht="34.5" x14ac:dyDescent="0.25">
      <c r="A18" s="2" t="s">
        <v>29</v>
      </c>
      <c r="B18" s="2" t="s">
        <v>44</v>
      </c>
      <c r="C18" s="2" t="s">
        <v>50</v>
      </c>
      <c r="D18" s="3">
        <f t="shared" ca="1" si="0"/>
        <v>32757</v>
      </c>
      <c r="E18" s="8">
        <v>44587</v>
      </c>
      <c r="F18" s="10"/>
      <c r="H18" s="6" t="s">
        <v>79</v>
      </c>
      <c r="I18" s="6" t="s">
        <v>62</v>
      </c>
      <c r="J18" s="7">
        <f t="shared" ca="1" si="1"/>
        <v>72251</v>
      </c>
      <c r="K18" s="6" t="s">
        <v>95</v>
      </c>
    </row>
    <row r="19" spans="1:11" ht="34.5" x14ac:dyDescent="0.25">
      <c r="A19" s="2" t="s">
        <v>30</v>
      </c>
      <c r="B19" s="2" t="s">
        <v>45</v>
      </c>
      <c r="C19" s="2" t="s">
        <v>7</v>
      </c>
      <c r="D19" s="3">
        <f t="shared" ca="1" si="0"/>
        <v>45486</v>
      </c>
      <c r="E19" s="8">
        <v>44588</v>
      </c>
      <c r="F19" s="10"/>
      <c r="H19" s="6" t="s">
        <v>80</v>
      </c>
      <c r="I19" s="6" t="s">
        <v>65</v>
      </c>
      <c r="J19" s="7">
        <f t="shared" ca="1" si="1"/>
        <v>62906</v>
      </c>
      <c r="K19" s="6" t="s">
        <v>96</v>
      </c>
    </row>
    <row r="20" spans="1:11" ht="34.5" x14ac:dyDescent="0.25">
      <c r="A20" s="2" t="s">
        <v>31</v>
      </c>
      <c r="B20" s="2" t="s">
        <v>46</v>
      </c>
      <c r="C20" s="2" t="s">
        <v>18</v>
      </c>
      <c r="D20" s="3">
        <f t="shared" ca="1" si="0"/>
        <v>28536</v>
      </c>
      <c r="E20" s="8">
        <v>44589</v>
      </c>
      <c r="F20" s="10"/>
      <c r="H20" s="6" t="s">
        <v>81</v>
      </c>
      <c r="I20" s="6" t="s">
        <v>56</v>
      </c>
      <c r="J20" s="7">
        <f t="shared" ca="1" si="1"/>
        <v>65127</v>
      </c>
      <c r="K20" s="6" t="s">
        <v>97</v>
      </c>
    </row>
    <row r="21" spans="1:11" ht="34.5" x14ac:dyDescent="0.25">
      <c r="A21" s="2" t="s">
        <v>32</v>
      </c>
      <c r="B21" s="2" t="s">
        <v>47</v>
      </c>
      <c r="C21" s="2" t="s">
        <v>10</v>
      </c>
      <c r="D21" s="3">
        <f t="shared" ca="1" si="0"/>
        <v>21308</v>
      </c>
      <c r="E21" s="8">
        <v>44590</v>
      </c>
      <c r="F21" s="10"/>
      <c r="H21" s="6" t="s">
        <v>82</v>
      </c>
      <c r="I21" s="6" t="s">
        <v>59</v>
      </c>
      <c r="J21" s="7">
        <f t="shared" ca="1" si="1"/>
        <v>57893</v>
      </c>
      <c r="K21" s="6" t="s">
        <v>98</v>
      </c>
    </row>
    <row r="22" spans="1:11" ht="34.5" x14ac:dyDescent="0.25">
      <c r="A22" s="2" t="s">
        <v>33</v>
      </c>
      <c r="B22" s="2" t="s">
        <v>48</v>
      </c>
      <c r="C22" s="2" t="s">
        <v>50</v>
      </c>
      <c r="D22" s="3">
        <f t="shared" ca="1" si="0"/>
        <v>23136</v>
      </c>
      <c r="E22" s="8">
        <v>44591</v>
      </c>
      <c r="F22" s="10"/>
      <c r="H22" s="6" t="s">
        <v>83</v>
      </c>
      <c r="I22" s="6" t="s">
        <v>62</v>
      </c>
      <c r="J22" s="7">
        <f t="shared" ca="1" si="1"/>
        <v>56152</v>
      </c>
      <c r="K22" s="6" t="s">
        <v>99</v>
      </c>
    </row>
    <row r="23" spans="1:11" ht="34.5" x14ac:dyDescent="0.25">
      <c r="A23" s="2" t="s">
        <v>34</v>
      </c>
      <c r="B23" s="2" t="s">
        <v>49</v>
      </c>
      <c r="C23" s="2" t="s">
        <v>13</v>
      </c>
      <c r="D23" s="3">
        <f t="shared" ca="1" si="0"/>
        <v>26923</v>
      </c>
      <c r="E23" s="8">
        <v>44592</v>
      </c>
      <c r="F23" s="10"/>
      <c r="H23" s="6" t="s">
        <v>84</v>
      </c>
      <c r="I23" s="6" t="s">
        <v>65</v>
      </c>
      <c r="J23" s="7">
        <f t="shared" ca="1" si="1"/>
        <v>74481</v>
      </c>
      <c r="K23" s="6" t="s">
        <v>100</v>
      </c>
    </row>
    <row r="24" spans="1:11" ht="15.75" thickBot="1" x14ac:dyDescent="0.3"/>
    <row r="25" spans="1:11" ht="19.5" thickBot="1" x14ac:dyDescent="0.35">
      <c r="C25" s="75" t="s">
        <v>112</v>
      </c>
      <c r="D25" s="82"/>
      <c r="E25" s="76"/>
    </row>
    <row r="27" spans="1:11" ht="15.75" x14ac:dyDescent="0.25">
      <c r="A27" s="16" t="s">
        <v>101</v>
      </c>
      <c r="B27" s="16" t="s">
        <v>102</v>
      </c>
      <c r="C27" s="16" t="s">
        <v>103</v>
      </c>
      <c r="D27" s="16" t="s">
        <v>104</v>
      </c>
      <c r="E27" s="16" t="s">
        <v>105</v>
      </c>
      <c r="F27" s="16" t="s">
        <v>113</v>
      </c>
      <c r="G27" s="16" t="s">
        <v>106</v>
      </c>
    </row>
    <row r="28" spans="1:11" ht="15.75" x14ac:dyDescent="0.25">
      <c r="A28" s="11">
        <v>1</v>
      </c>
      <c r="B28" s="11" t="s">
        <v>107</v>
      </c>
      <c r="C28" s="11">
        <v>78</v>
      </c>
      <c r="D28" s="11">
        <v>82</v>
      </c>
      <c r="E28" s="11">
        <v>74</v>
      </c>
      <c r="F28" s="11">
        <f>(E28+D28+C28)</f>
        <v>234</v>
      </c>
      <c r="G28" s="12">
        <f>(F28/300)</f>
        <v>0.78</v>
      </c>
    </row>
    <row r="29" spans="1:11" ht="15.75" x14ac:dyDescent="0.25">
      <c r="A29" s="11">
        <v>2</v>
      </c>
      <c r="B29" s="11" t="s">
        <v>108</v>
      </c>
      <c r="C29" s="11">
        <v>65</v>
      </c>
      <c r="D29" s="11">
        <v>70</v>
      </c>
      <c r="E29" s="11">
        <v>68</v>
      </c>
      <c r="F29" s="11">
        <f t="shared" ref="F29:F47" si="2">(E29+D29+C29)</f>
        <v>203</v>
      </c>
      <c r="G29" s="12">
        <f t="shared" ref="G29:G47" si="3">(F29/300)</f>
        <v>0.67666666666666664</v>
      </c>
    </row>
    <row r="30" spans="1:11" ht="15.75" x14ac:dyDescent="0.25">
      <c r="A30" s="11">
        <v>3</v>
      </c>
      <c r="B30" s="11" t="s">
        <v>109</v>
      </c>
      <c r="C30" s="11">
        <v>90</v>
      </c>
      <c r="D30" s="11">
        <v>88</v>
      </c>
      <c r="E30" s="11">
        <v>92</v>
      </c>
      <c r="F30" s="11">
        <f t="shared" si="2"/>
        <v>270</v>
      </c>
      <c r="G30" s="12">
        <f t="shared" si="3"/>
        <v>0.9</v>
      </c>
    </row>
    <row r="31" spans="1:11" ht="15.75" x14ac:dyDescent="0.25">
      <c r="A31" s="11">
        <v>4</v>
      </c>
      <c r="B31" s="11" t="s">
        <v>110</v>
      </c>
      <c r="C31" s="11">
        <v>35</v>
      </c>
      <c r="D31" s="11">
        <v>40</v>
      </c>
      <c r="E31" s="11">
        <v>38</v>
      </c>
      <c r="F31" s="11">
        <f t="shared" si="2"/>
        <v>113</v>
      </c>
      <c r="G31" s="12">
        <f t="shared" si="3"/>
        <v>0.37666666666666665</v>
      </c>
    </row>
    <row r="32" spans="1:11" ht="15.75" x14ac:dyDescent="0.25">
      <c r="A32" s="11">
        <v>5</v>
      </c>
      <c r="B32" s="11" t="s">
        <v>111</v>
      </c>
      <c r="C32" s="11">
        <v>55</v>
      </c>
      <c r="D32" s="11">
        <v>60</v>
      </c>
      <c r="E32" s="11">
        <v>58</v>
      </c>
      <c r="F32" s="11">
        <f t="shared" si="2"/>
        <v>173</v>
      </c>
      <c r="G32" s="12">
        <f t="shared" si="3"/>
        <v>0.57666666666666666</v>
      </c>
    </row>
    <row r="33" spans="1:7" ht="15.75" x14ac:dyDescent="0.25">
      <c r="A33" s="11">
        <v>6</v>
      </c>
      <c r="B33" s="13" t="s">
        <v>63</v>
      </c>
      <c r="C33" s="14">
        <f ca="1">RANDBETWEEN(20,100)</f>
        <v>60</v>
      </c>
      <c r="D33" s="14">
        <f ca="1">RANDBETWEEN(20,100)</f>
        <v>96</v>
      </c>
      <c r="E33" s="14">
        <f ca="1">RANDBETWEEN(20,100)</f>
        <v>60</v>
      </c>
      <c r="F33" s="14">
        <f t="shared" ca="1" si="2"/>
        <v>216</v>
      </c>
      <c r="G33" s="15">
        <f t="shared" ca="1" si="3"/>
        <v>0.72</v>
      </c>
    </row>
    <row r="34" spans="1:7" ht="15.75" x14ac:dyDescent="0.25">
      <c r="A34" s="11">
        <v>7</v>
      </c>
      <c r="B34" s="13" t="s">
        <v>66</v>
      </c>
      <c r="C34" s="14">
        <f t="shared" ref="C34:E47" ca="1" si="4">RANDBETWEEN(20,100)</f>
        <v>76</v>
      </c>
      <c r="D34" s="14">
        <f t="shared" ca="1" si="4"/>
        <v>31</v>
      </c>
      <c r="E34" s="14">
        <f t="shared" ca="1" si="4"/>
        <v>41</v>
      </c>
      <c r="F34" s="14">
        <f t="shared" ca="1" si="2"/>
        <v>148</v>
      </c>
      <c r="G34" s="15">
        <f t="shared" ca="1" si="3"/>
        <v>0.49333333333333335</v>
      </c>
    </row>
    <row r="35" spans="1:7" ht="15.75" x14ac:dyDescent="0.25">
      <c r="A35" s="11">
        <v>8</v>
      </c>
      <c r="B35" s="13" t="s">
        <v>85</v>
      </c>
      <c r="C35" s="14">
        <f t="shared" ca="1" si="4"/>
        <v>92</v>
      </c>
      <c r="D35" s="14">
        <f t="shared" ca="1" si="4"/>
        <v>23</v>
      </c>
      <c r="E35" s="14">
        <f t="shared" ca="1" si="4"/>
        <v>61</v>
      </c>
      <c r="F35" s="14">
        <f t="shared" ca="1" si="2"/>
        <v>176</v>
      </c>
      <c r="G35" s="15">
        <f t="shared" ca="1" si="3"/>
        <v>0.58666666666666667</v>
      </c>
    </row>
    <row r="36" spans="1:7" ht="15.75" x14ac:dyDescent="0.25">
      <c r="A36" s="11">
        <v>9</v>
      </c>
      <c r="B36" s="13" t="s">
        <v>86</v>
      </c>
      <c r="C36" s="14">
        <f t="shared" ca="1" si="4"/>
        <v>55</v>
      </c>
      <c r="D36" s="14">
        <f t="shared" ca="1" si="4"/>
        <v>37</v>
      </c>
      <c r="E36" s="14">
        <f t="shared" ca="1" si="4"/>
        <v>60</v>
      </c>
      <c r="F36" s="14">
        <f t="shared" ca="1" si="2"/>
        <v>152</v>
      </c>
      <c r="G36" s="15">
        <f t="shared" ca="1" si="3"/>
        <v>0.50666666666666671</v>
      </c>
    </row>
    <row r="37" spans="1:7" ht="15.75" x14ac:dyDescent="0.25">
      <c r="A37" s="11">
        <v>10</v>
      </c>
      <c r="B37" s="13" t="s">
        <v>87</v>
      </c>
      <c r="C37" s="14">
        <f t="shared" ca="1" si="4"/>
        <v>75</v>
      </c>
      <c r="D37" s="14">
        <f t="shared" ca="1" si="4"/>
        <v>55</v>
      </c>
      <c r="E37" s="14">
        <f t="shared" ca="1" si="4"/>
        <v>20</v>
      </c>
      <c r="F37" s="14">
        <f t="shared" ca="1" si="2"/>
        <v>150</v>
      </c>
      <c r="G37" s="15">
        <f t="shared" ca="1" si="3"/>
        <v>0.5</v>
      </c>
    </row>
    <row r="38" spans="1:7" ht="15.75" x14ac:dyDescent="0.25">
      <c r="A38" s="11">
        <v>11</v>
      </c>
      <c r="B38" s="13" t="s">
        <v>88</v>
      </c>
      <c r="C38" s="14">
        <f t="shared" ca="1" si="4"/>
        <v>28</v>
      </c>
      <c r="D38" s="14">
        <f t="shared" ca="1" si="4"/>
        <v>42</v>
      </c>
      <c r="E38" s="14">
        <f t="shared" ca="1" si="4"/>
        <v>50</v>
      </c>
      <c r="F38" s="14">
        <f t="shared" ca="1" si="2"/>
        <v>120</v>
      </c>
      <c r="G38" s="15">
        <f t="shared" ca="1" si="3"/>
        <v>0.4</v>
      </c>
    </row>
    <row r="39" spans="1:7" ht="15.75" x14ac:dyDescent="0.25">
      <c r="A39" s="11">
        <v>12</v>
      </c>
      <c r="B39" s="13" t="s">
        <v>89</v>
      </c>
      <c r="C39" s="14">
        <f t="shared" ca="1" si="4"/>
        <v>38</v>
      </c>
      <c r="D39" s="14">
        <f t="shared" ca="1" si="4"/>
        <v>78</v>
      </c>
      <c r="E39" s="14">
        <f t="shared" ca="1" si="4"/>
        <v>56</v>
      </c>
      <c r="F39" s="14">
        <f t="shared" ca="1" si="2"/>
        <v>172</v>
      </c>
      <c r="G39" s="15">
        <f t="shared" ca="1" si="3"/>
        <v>0.57333333333333336</v>
      </c>
    </row>
    <row r="40" spans="1:7" ht="15.75" x14ac:dyDescent="0.25">
      <c r="A40" s="11">
        <v>13</v>
      </c>
      <c r="B40" s="13" t="s">
        <v>90</v>
      </c>
      <c r="C40" s="14">
        <f t="shared" ca="1" si="4"/>
        <v>73</v>
      </c>
      <c r="D40" s="14">
        <f t="shared" ca="1" si="4"/>
        <v>56</v>
      </c>
      <c r="E40" s="14">
        <f t="shared" ca="1" si="4"/>
        <v>46</v>
      </c>
      <c r="F40" s="14">
        <f t="shared" ca="1" si="2"/>
        <v>175</v>
      </c>
      <c r="G40" s="15">
        <f t="shared" ca="1" si="3"/>
        <v>0.58333333333333337</v>
      </c>
    </row>
    <row r="41" spans="1:7" ht="15.75" x14ac:dyDescent="0.25">
      <c r="A41" s="11">
        <v>14</v>
      </c>
      <c r="B41" s="13" t="s">
        <v>91</v>
      </c>
      <c r="C41" s="14">
        <f t="shared" ca="1" si="4"/>
        <v>91</v>
      </c>
      <c r="D41" s="14">
        <f t="shared" ca="1" si="4"/>
        <v>28</v>
      </c>
      <c r="E41" s="14">
        <f t="shared" ca="1" si="4"/>
        <v>57</v>
      </c>
      <c r="F41" s="14">
        <f t="shared" ca="1" si="2"/>
        <v>176</v>
      </c>
      <c r="G41" s="15">
        <f t="shared" ca="1" si="3"/>
        <v>0.58666666666666667</v>
      </c>
    </row>
    <row r="42" spans="1:7" ht="15.75" x14ac:dyDescent="0.25">
      <c r="A42" s="11">
        <v>15</v>
      </c>
      <c r="B42" s="13" t="s">
        <v>92</v>
      </c>
      <c r="C42" s="14">
        <f t="shared" ca="1" si="4"/>
        <v>86</v>
      </c>
      <c r="D42" s="14">
        <f t="shared" ca="1" si="4"/>
        <v>56</v>
      </c>
      <c r="E42" s="14">
        <f t="shared" ca="1" si="4"/>
        <v>43</v>
      </c>
      <c r="F42" s="14">
        <f t="shared" ca="1" si="2"/>
        <v>185</v>
      </c>
      <c r="G42" s="15">
        <f t="shared" ca="1" si="3"/>
        <v>0.6166666666666667</v>
      </c>
    </row>
    <row r="43" spans="1:7" ht="15.75" x14ac:dyDescent="0.25">
      <c r="A43" s="11">
        <v>16</v>
      </c>
      <c r="B43" s="13" t="s">
        <v>93</v>
      </c>
      <c r="C43" s="14">
        <f t="shared" ca="1" si="4"/>
        <v>31</v>
      </c>
      <c r="D43" s="14">
        <f t="shared" ca="1" si="4"/>
        <v>79</v>
      </c>
      <c r="E43" s="14">
        <f t="shared" ca="1" si="4"/>
        <v>86</v>
      </c>
      <c r="F43" s="14">
        <f t="shared" ca="1" si="2"/>
        <v>196</v>
      </c>
      <c r="G43" s="15">
        <f t="shared" ca="1" si="3"/>
        <v>0.65333333333333332</v>
      </c>
    </row>
    <row r="44" spans="1:7" ht="15.75" x14ac:dyDescent="0.25">
      <c r="A44" s="11">
        <v>17</v>
      </c>
      <c r="B44" s="13" t="s">
        <v>94</v>
      </c>
      <c r="C44" s="14">
        <f t="shared" ca="1" si="4"/>
        <v>77</v>
      </c>
      <c r="D44" s="14">
        <f t="shared" ca="1" si="4"/>
        <v>87</v>
      </c>
      <c r="E44" s="14">
        <f t="shared" ca="1" si="4"/>
        <v>46</v>
      </c>
      <c r="F44" s="14">
        <f t="shared" ca="1" si="2"/>
        <v>210</v>
      </c>
      <c r="G44" s="15">
        <f t="shared" ca="1" si="3"/>
        <v>0.7</v>
      </c>
    </row>
    <row r="45" spans="1:7" ht="15.75" x14ac:dyDescent="0.25">
      <c r="A45" s="11">
        <v>18</v>
      </c>
      <c r="B45" s="13" t="s">
        <v>95</v>
      </c>
      <c r="C45" s="14">
        <f t="shared" ca="1" si="4"/>
        <v>78</v>
      </c>
      <c r="D45" s="14">
        <f t="shared" ca="1" si="4"/>
        <v>60</v>
      </c>
      <c r="E45" s="14">
        <f t="shared" ca="1" si="4"/>
        <v>76</v>
      </c>
      <c r="F45" s="14">
        <f t="shared" ca="1" si="2"/>
        <v>214</v>
      </c>
      <c r="G45" s="15">
        <f t="shared" ca="1" si="3"/>
        <v>0.71333333333333337</v>
      </c>
    </row>
    <row r="46" spans="1:7" ht="15.75" x14ac:dyDescent="0.25">
      <c r="A46" s="11">
        <v>19</v>
      </c>
      <c r="B46" s="13" t="s">
        <v>96</v>
      </c>
      <c r="C46" s="14">
        <f t="shared" ca="1" si="4"/>
        <v>48</v>
      </c>
      <c r="D46" s="14">
        <f t="shared" ca="1" si="4"/>
        <v>57</v>
      </c>
      <c r="E46" s="14">
        <f t="shared" ca="1" si="4"/>
        <v>43</v>
      </c>
      <c r="F46" s="14">
        <f t="shared" ca="1" si="2"/>
        <v>148</v>
      </c>
      <c r="G46" s="15">
        <f t="shared" ca="1" si="3"/>
        <v>0.49333333333333335</v>
      </c>
    </row>
    <row r="47" spans="1:7" ht="15.75" x14ac:dyDescent="0.25">
      <c r="A47" s="11">
        <v>20</v>
      </c>
      <c r="B47" s="13" t="s">
        <v>97</v>
      </c>
      <c r="C47" s="14">
        <f t="shared" ca="1" si="4"/>
        <v>70</v>
      </c>
      <c r="D47" s="14">
        <f t="shared" ca="1" si="4"/>
        <v>27</v>
      </c>
      <c r="E47" s="14">
        <f t="shared" ca="1" si="4"/>
        <v>32</v>
      </c>
      <c r="F47" s="14">
        <f t="shared" ca="1" si="2"/>
        <v>129</v>
      </c>
      <c r="G47" s="15">
        <f t="shared" ca="1" si="3"/>
        <v>0.43</v>
      </c>
    </row>
    <row r="48" spans="1:7" ht="15.75" thickBot="1" x14ac:dyDescent="0.3"/>
    <row r="49" spans="1:7" ht="21.75" thickBot="1" x14ac:dyDescent="0.35">
      <c r="B49" s="28" t="s">
        <v>138</v>
      </c>
      <c r="F49" s="57" t="s">
        <v>146</v>
      </c>
    </row>
    <row r="50" spans="1:7" ht="15.75" thickBot="1" x14ac:dyDescent="0.3"/>
    <row r="51" spans="1:7" ht="16.5" thickBot="1" x14ac:dyDescent="0.3">
      <c r="A51" s="49" t="s">
        <v>114</v>
      </c>
      <c r="B51" s="49" t="s">
        <v>115</v>
      </c>
      <c r="C51" s="49" t="s">
        <v>53</v>
      </c>
      <c r="E51" s="45" t="s">
        <v>139</v>
      </c>
      <c r="F51" s="45" t="s">
        <v>2</v>
      </c>
      <c r="G51" s="45" t="s">
        <v>3</v>
      </c>
    </row>
    <row r="52" spans="1:7" ht="15.75" x14ac:dyDescent="0.25">
      <c r="A52" s="46" t="s">
        <v>116</v>
      </c>
      <c r="B52" s="47">
        <v>45292</v>
      </c>
      <c r="C52" s="48">
        <v>12000</v>
      </c>
      <c r="E52" s="42" t="s">
        <v>140</v>
      </c>
      <c r="F52" s="43" t="s">
        <v>7</v>
      </c>
      <c r="G52" s="44">
        <v>28000</v>
      </c>
    </row>
    <row r="53" spans="1:7" ht="15.75" x14ac:dyDescent="0.25">
      <c r="A53" s="17" t="s">
        <v>117</v>
      </c>
      <c r="B53" s="18">
        <v>45294</v>
      </c>
      <c r="C53" s="19">
        <v>25000</v>
      </c>
      <c r="E53" s="31" t="s">
        <v>141</v>
      </c>
      <c r="F53" s="29" t="s">
        <v>10</v>
      </c>
      <c r="G53" s="36">
        <v>45000</v>
      </c>
    </row>
    <row r="54" spans="1:7" ht="15.75" x14ac:dyDescent="0.25">
      <c r="A54" s="17" t="s">
        <v>118</v>
      </c>
      <c r="B54" s="18">
        <v>45296</v>
      </c>
      <c r="C54" s="19">
        <v>8000</v>
      </c>
      <c r="E54" s="31" t="s">
        <v>142</v>
      </c>
      <c r="F54" s="29" t="s">
        <v>10</v>
      </c>
      <c r="G54" s="36">
        <v>50000</v>
      </c>
    </row>
    <row r="55" spans="1:7" ht="15.75" x14ac:dyDescent="0.25">
      <c r="A55" s="17" t="s">
        <v>119</v>
      </c>
      <c r="B55" s="18">
        <v>45298</v>
      </c>
      <c r="C55" s="19">
        <v>32000</v>
      </c>
      <c r="E55" s="31" t="s">
        <v>143</v>
      </c>
      <c r="F55" s="29" t="s">
        <v>13</v>
      </c>
      <c r="G55" s="36">
        <v>42000</v>
      </c>
    </row>
    <row r="56" spans="1:7" ht="15.75" x14ac:dyDescent="0.25">
      <c r="A56" s="17" t="s">
        <v>120</v>
      </c>
      <c r="B56" s="18">
        <v>45300</v>
      </c>
      <c r="C56" s="19">
        <v>15000</v>
      </c>
      <c r="E56" s="31" t="s">
        <v>144</v>
      </c>
      <c r="F56" s="29" t="s">
        <v>7</v>
      </c>
      <c r="G56" s="36">
        <v>30000</v>
      </c>
    </row>
    <row r="57" spans="1:7" ht="15.75" x14ac:dyDescent="0.25">
      <c r="A57" s="17" t="s">
        <v>121</v>
      </c>
      <c r="B57" s="18">
        <v>45302</v>
      </c>
      <c r="C57" s="20">
        <f ca="1">RANDBETWEEN(15000,80000)</f>
        <v>39251</v>
      </c>
      <c r="E57" s="31" t="s">
        <v>145</v>
      </c>
      <c r="F57" s="29" t="s">
        <v>13</v>
      </c>
      <c r="G57" s="36">
        <v>38000</v>
      </c>
    </row>
    <row r="58" spans="1:7" ht="17.25" x14ac:dyDescent="0.25">
      <c r="A58" s="17" t="s">
        <v>122</v>
      </c>
      <c r="B58" s="18">
        <v>45304</v>
      </c>
      <c r="C58" s="20">
        <f t="shared" ref="C58:C71" ca="1" si="5">RANDBETWEEN(15000,80000)</f>
        <v>42264</v>
      </c>
      <c r="E58" s="32" t="s">
        <v>57</v>
      </c>
      <c r="F58" s="30" t="s">
        <v>13</v>
      </c>
      <c r="G58" s="37">
        <f ca="1">RANDBETWEEN(20000,60000)</f>
        <v>25846</v>
      </c>
    </row>
    <row r="59" spans="1:7" ht="17.25" x14ac:dyDescent="0.25">
      <c r="A59" s="17" t="s">
        <v>123</v>
      </c>
      <c r="B59" s="18">
        <v>45306</v>
      </c>
      <c r="C59" s="20">
        <f t="shared" ca="1" si="5"/>
        <v>70646</v>
      </c>
      <c r="E59" s="32" t="s">
        <v>60</v>
      </c>
      <c r="F59" s="30" t="s">
        <v>10</v>
      </c>
      <c r="G59" s="37">
        <f t="shared" ref="G59:G69" ca="1" si="6">RANDBETWEEN(20000,60000)</f>
        <v>43394</v>
      </c>
    </row>
    <row r="60" spans="1:7" ht="17.25" x14ac:dyDescent="0.25">
      <c r="A60" s="17" t="s">
        <v>124</v>
      </c>
      <c r="B60" s="18">
        <v>45308</v>
      </c>
      <c r="C60" s="20">
        <f t="shared" ca="1" si="5"/>
        <v>60631</v>
      </c>
      <c r="E60" s="32" t="s">
        <v>63</v>
      </c>
      <c r="F60" s="30" t="s">
        <v>18</v>
      </c>
      <c r="G60" s="37">
        <f t="shared" ca="1" si="6"/>
        <v>58976</v>
      </c>
    </row>
    <row r="61" spans="1:7" ht="17.25" x14ac:dyDescent="0.25">
      <c r="A61" s="17" t="s">
        <v>125</v>
      </c>
      <c r="B61" s="18">
        <v>45310</v>
      </c>
      <c r="C61" s="20">
        <f t="shared" ca="1" si="5"/>
        <v>17155</v>
      </c>
      <c r="E61" s="32" t="s">
        <v>66</v>
      </c>
      <c r="F61" s="30" t="s">
        <v>50</v>
      </c>
      <c r="G61" s="37">
        <f t="shared" ca="1" si="6"/>
        <v>20920</v>
      </c>
    </row>
    <row r="62" spans="1:7" ht="17.25" x14ac:dyDescent="0.25">
      <c r="A62" s="17" t="s">
        <v>126</v>
      </c>
      <c r="B62" s="18">
        <v>45312</v>
      </c>
      <c r="C62" s="20">
        <f t="shared" ca="1" si="5"/>
        <v>25323</v>
      </c>
      <c r="E62" s="33" t="s">
        <v>85</v>
      </c>
      <c r="F62" s="30" t="s">
        <v>7</v>
      </c>
      <c r="G62" s="37">
        <f t="shared" ca="1" si="6"/>
        <v>46287</v>
      </c>
    </row>
    <row r="63" spans="1:7" ht="17.25" x14ac:dyDescent="0.25">
      <c r="A63" s="17" t="s">
        <v>127</v>
      </c>
      <c r="B63" s="18">
        <v>45314</v>
      </c>
      <c r="C63" s="20">
        <f t="shared" ca="1" si="5"/>
        <v>24155</v>
      </c>
      <c r="E63" s="33" t="s">
        <v>86</v>
      </c>
      <c r="F63" s="30" t="s">
        <v>10</v>
      </c>
      <c r="G63" s="37">
        <f t="shared" ca="1" si="6"/>
        <v>59545</v>
      </c>
    </row>
    <row r="64" spans="1:7" ht="17.25" x14ac:dyDescent="0.25">
      <c r="A64" s="17" t="s">
        <v>128</v>
      </c>
      <c r="B64" s="18">
        <v>45315</v>
      </c>
      <c r="C64" s="20">
        <f t="shared" ca="1" si="5"/>
        <v>38480</v>
      </c>
      <c r="E64" s="33" t="s">
        <v>87</v>
      </c>
      <c r="F64" s="30" t="s">
        <v>18</v>
      </c>
      <c r="G64" s="37">
        <f t="shared" ca="1" si="6"/>
        <v>45276</v>
      </c>
    </row>
    <row r="65" spans="1:7" ht="17.25" x14ac:dyDescent="0.25">
      <c r="A65" s="17" t="s">
        <v>129</v>
      </c>
      <c r="B65" s="18">
        <v>45316</v>
      </c>
      <c r="C65" s="20">
        <f t="shared" ca="1" si="5"/>
        <v>36235</v>
      </c>
      <c r="E65" s="33" t="s">
        <v>88</v>
      </c>
      <c r="F65" s="30" t="s">
        <v>13</v>
      </c>
      <c r="G65" s="37">
        <f t="shared" ca="1" si="6"/>
        <v>42842</v>
      </c>
    </row>
    <row r="66" spans="1:7" ht="17.25" x14ac:dyDescent="0.25">
      <c r="A66" s="17" t="s">
        <v>130</v>
      </c>
      <c r="B66" s="18">
        <v>45317</v>
      </c>
      <c r="C66" s="20">
        <f t="shared" ca="1" si="5"/>
        <v>26338</v>
      </c>
      <c r="E66" s="33" t="s">
        <v>89</v>
      </c>
      <c r="F66" s="30" t="s">
        <v>50</v>
      </c>
      <c r="G66" s="37">
        <f t="shared" ca="1" si="6"/>
        <v>43487</v>
      </c>
    </row>
    <row r="67" spans="1:7" ht="17.25" x14ac:dyDescent="0.25">
      <c r="A67" s="17" t="s">
        <v>131</v>
      </c>
      <c r="B67" s="18">
        <v>45318</v>
      </c>
      <c r="C67" s="20">
        <f t="shared" ca="1" si="5"/>
        <v>33085</v>
      </c>
      <c r="E67" s="33" t="s">
        <v>90</v>
      </c>
      <c r="F67" s="30" t="s">
        <v>10</v>
      </c>
      <c r="G67" s="37">
        <f t="shared" ca="1" si="6"/>
        <v>46319</v>
      </c>
    </row>
    <row r="68" spans="1:7" ht="17.25" x14ac:dyDescent="0.25">
      <c r="A68" s="17" t="s">
        <v>132</v>
      </c>
      <c r="B68" s="18">
        <v>45319</v>
      </c>
      <c r="C68" s="20">
        <f t="shared" ca="1" si="5"/>
        <v>17993</v>
      </c>
      <c r="E68" s="33" t="s">
        <v>91</v>
      </c>
      <c r="F68" s="30" t="s">
        <v>13</v>
      </c>
      <c r="G68" s="37">
        <f t="shared" ca="1" si="6"/>
        <v>43095</v>
      </c>
    </row>
    <row r="69" spans="1:7" ht="18" thickBot="1" x14ac:dyDescent="0.3">
      <c r="A69" s="17" t="s">
        <v>133</v>
      </c>
      <c r="B69" s="18">
        <v>45320</v>
      </c>
      <c r="C69" s="20">
        <f t="shared" ca="1" si="5"/>
        <v>36110</v>
      </c>
      <c r="E69" s="34" t="s">
        <v>92</v>
      </c>
      <c r="F69" s="35" t="s">
        <v>18</v>
      </c>
      <c r="G69" s="38">
        <f t="shared" ca="1" si="6"/>
        <v>46582</v>
      </c>
    </row>
    <row r="70" spans="1:7" ht="16.5" thickBot="1" x14ac:dyDescent="0.3">
      <c r="A70" s="17" t="s">
        <v>134</v>
      </c>
      <c r="B70" s="18">
        <v>45321</v>
      </c>
      <c r="C70" s="20">
        <f t="shared" ca="1" si="5"/>
        <v>70555</v>
      </c>
    </row>
    <row r="71" spans="1:7" ht="32.25" thickBot="1" x14ac:dyDescent="0.3">
      <c r="A71" s="17" t="s">
        <v>135</v>
      </c>
      <c r="B71" s="21">
        <v>45322</v>
      </c>
      <c r="C71" s="22">
        <f t="shared" ca="1" si="5"/>
        <v>39837</v>
      </c>
      <c r="E71" s="50" t="s">
        <v>2</v>
      </c>
      <c r="F71" s="50" t="s">
        <v>148</v>
      </c>
    </row>
    <row r="72" spans="1:7" ht="16.5" thickBot="1" x14ac:dyDescent="0.3">
      <c r="B72" s="23" t="s">
        <v>136</v>
      </c>
      <c r="C72" s="24">
        <v>907777</v>
      </c>
      <c r="E72" s="39" t="s">
        <v>50</v>
      </c>
      <c r="F72" s="53">
        <f ca="1">SUMIF(F52:F69,E72,G52:G69)</f>
        <v>64407</v>
      </c>
    </row>
    <row r="73" spans="1:7" ht="16.5" thickBot="1" x14ac:dyDescent="0.3">
      <c r="B73" s="23" t="s">
        <v>137</v>
      </c>
      <c r="C73" s="24">
        <v>45388.85</v>
      </c>
      <c r="E73" s="40" t="s">
        <v>10</v>
      </c>
      <c r="F73" s="54">
        <f ca="1">SUMIF(F52:F69,E73,G52:G69)</f>
        <v>244258</v>
      </c>
    </row>
    <row r="74" spans="1:7" ht="15.75" x14ac:dyDescent="0.25">
      <c r="E74" s="40" t="s">
        <v>18</v>
      </c>
      <c r="F74" s="54">
        <f ca="1">SUMIF(F52:F69,E74,G52:G69)</f>
        <v>150834</v>
      </c>
    </row>
    <row r="75" spans="1:7" ht="15.75" x14ac:dyDescent="0.25">
      <c r="E75" s="40" t="s">
        <v>7</v>
      </c>
      <c r="F75" s="54">
        <f ca="1">SUMIF(F52:F69,E75,G52:G69)</f>
        <v>104287</v>
      </c>
    </row>
    <row r="76" spans="1:7" ht="15.75" x14ac:dyDescent="0.25">
      <c r="E76" s="40" t="s">
        <v>13</v>
      </c>
      <c r="F76" s="54">
        <f ca="1">SUMIF(F52:F69,E76,G52:G69)</f>
        <v>191783</v>
      </c>
    </row>
    <row r="77" spans="1:7" ht="15.75" x14ac:dyDescent="0.25">
      <c r="E77" s="40" t="s">
        <v>147</v>
      </c>
      <c r="F77" s="55">
        <v>748294</v>
      </c>
    </row>
    <row r="78" spans="1:7" ht="15.75" x14ac:dyDescent="0.25">
      <c r="E78" s="40" t="s">
        <v>149</v>
      </c>
      <c r="F78" s="55">
        <f>AVERAGE(F77/20)</f>
        <v>37414.699999999997</v>
      </c>
    </row>
    <row r="79" spans="1:7" ht="16.5" thickBot="1" x14ac:dyDescent="0.3">
      <c r="E79" s="41" t="s">
        <v>150</v>
      </c>
      <c r="F79" s="56">
        <v>20</v>
      </c>
    </row>
    <row r="80" spans="1:7" ht="15.75" thickBot="1" x14ac:dyDescent="0.3"/>
    <row r="81" spans="1:8" ht="15.75" thickBot="1" x14ac:dyDescent="0.3">
      <c r="C81" s="83" t="s">
        <v>158</v>
      </c>
      <c r="D81" s="84"/>
    </row>
    <row r="82" spans="1:8" ht="15.75" thickBot="1" x14ac:dyDescent="0.3"/>
    <row r="83" spans="1:8" ht="32.25" thickBot="1" x14ac:dyDescent="0.3">
      <c r="A83" s="70" t="s">
        <v>102</v>
      </c>
      <c r="B83" s="70" t="s">
        <v>151</v>
      </c>
      <c r="C83" s="70" t="s">
        <v>152</v>
      </c>
      <c r="D83" s="70" t="s">
        <v>153</v>
      </c>
      <c r="E83" s="70" t="s">
        <v>154</v>
      </c>
      <c r="F83" s="70" t="s">
        <v>155</v>
      </c>
      <c r="G83" s="70" t="s">
        <v>159</v>
      </c>
      <c r="H83" s="70" t="s">
        <v>160</v>
      </c>
    </row>
    <row r="84" spans="1:8" ht="15.75" x14ac:dyDescent="0.25">
      <c r="A84" s="67" t="s">
        <v>107</v>
      </c>
      <c r="B84" s="68" t="s">
        <v>156</v>
      </c>
      <c r="C84" s="68" t="s">
        <v>157</v>
      </c>
      <c r="D84" s="68" t="s">
        <v>156</v>
      </c>
      <c r="E84" s="68" t="s">
        <v>156</v>
      </c>
      <c r="F84" s="69" t="s">
        <v>156</v>
      </c>
      <c r="G84" s="73">
        <f>COUNTIF(B84:F84,"p")</f>
        <v>4</v>
      </c>
      <c r="H84" s="74">
        <f>COUNTIF(B84:F84,"A")</f>
        <v>1</v>
      </c>
    </row>
    <row r="85" spans="1:8" ht="15.75" x14ac:dyDescent="0.25">
      <c r="A85" s="58" t="s">
        <v>108</v>
      </c>
      <c r="B85" s="59" t="s">
        <v>156</v>
      </c>
      <c r="C85" s="59" t="s">
        <v>156</v>
      </c>
      <c r="D85" s="59" t="s">
        <v>156</v>
      </c>
      <c r="E85" s="59" t="s">
        <v>157</v>
      </c>
      <c r="F85" s="60" t="s">
        <v>156</v>
      </c>
      <c r="G85" s="71">
        <f t="shared" ref="G85:G100" si="7">COUNTIF(B85:F85,"p")</f>
        <v>4</v>
      </c>
      <c r="H85" s="51">
        <f t="shared" ref="H85:H100" si="8">COUNTIF(B85:F85,"A")</f>
        <v>1</v>
      </c>
    </row>
    <row r="86" spans="1:8" ht="15.75" x14ac:dyDescent="0.25">
      <c r="A86" s="58" t="s">
        <v>109</v>
      </c>
      <c r="B86" s="59" t="s">
        <v>157</v>
      </c>
      <c r="C86" s="59" t="s">
        <v>156</v>
      </c>
      <c r="D86" s="59" t="s">
        <v>156</v>
      </c>
      <c r="E86" s="59" t="s">
        <v>156</v>
      </c>
      <c r="F86" s="60" t="s">
        <v>156</v>
      </c>
      <c r="G86" s="71">
        <f t="shared" si="7"/>
        <v>4</v>
      </c>
      <c r="H86" s="51">
        <f t="shared" si="8"/>
        <v>1</v>
      </c>
    </row>
    <row r="87" spans="1:8" ht="15.75" x14ac:dyDescent="0.25">
      <c r="A87" s="58" t="s">
        <v>110</v>
      </c>
      <c r="B87" s="59" t="s">
        <v>156</v>
      </c>
      <c r="C87" s="59" t="s">
        <v>157</v>
      </c>
      <c r="D87" s="59" t="s">
        <v>157</v>
      </c>
      <c r="E87" s="59" t="s">
        <v>156</v>
      </c>
      <c r="F87" s="60" t="s">
        <v>157</v>
      </c>
      <c r="G87" s="71">
        <f t="shared" si="7"/>
        <v>2</v>
      </c>
      <c r="H87" s="51">
        <f t="shared" si="8"/>
        <v>3</v>
      </c>
    </row>
    <row r="88" spans="1:8" ht="15.75" x14ac:dyDescent="0.25">
      <c r="A88" s="61" t="s">
        <v>140</v>
      </c>
      <c r="B88" s="59" t="s">
        <v>156</v>
      </c>
      <c r="C88" s="59" t="s">
        <v>156</v>
      </c>
      <c r="D88" s="59" t="s">
        <v>156</v>
      </c>
      <c r="E88" s="59" t="s">
        <v>157</v>
      </c>
      <c r="F88" s="60" t="s">
        <v>156</v>
      </c>
      <c r="G88" s="71">
        <f t="shared" si="7"/>
        <v>4</v>
      </c>
      <c r="H88" s="51">
        <f t="shared" si="8"/>
        <v>1</v>
      </c>
    </row>
    <row r="89" spans="1:8" ht="15.75" x14ac:dyDescent="0.25">
      <c r="A89" s="61" t="s">
        <v>141</v>
      </c>
      <c r="B89" s="59" t="s">
        <v>156</v>
      </c>
      <c r="C89" s="59" t="s">
        <v>156</v>
      </c>
      <c r="D89" s="59" t="s">
        <v>156</v>
      </c>
      <c r="E89" s="59" t="s">
        <v>157</v>
      </c>
      <c r="F89" s="60" t="s">
        <v>156</v>
      </c>
      <c r="G89" s="71">
        <f t="shared" si="7"/>
        <v>4</v>
      </c>
      <c r="H89" s="51">
        <f t="shared" si="8"/>
        <v>1</v>
      </c>
    </row>
    <row r="90" spans="1:8" ht="15.75" x14ac:dyDescent="0.25">
      <c r="A90" s="61" t="s">
        <v>142</v>
      </c>
      <c r="B90" s="59" t="s">
        <v>157</v>
      </c>
      <c r="C90" s="59" t="s">
        <v>156</v>
      </c>
      <c r="D90" s="59" t="s">
        <v>156</v>
      </c>
      <c r="E90" s="59" t="s">
        <v>157</v>
      </c>
      <c r="F90" s="60" t="s">
        <v>156</v>
      </c>
      <c r="G90" s="71">
        <f t="shared" si="7"/>
        <v>3</v>
      </c>
      <c r="H90" s="51">
        <f t="shared" si="8"/>
        <v>2</v>
      </c>
    </row>
    <row r="91" spans="1:8" ht="15.75" x14ac:dyDescent="0.25">
      <c r="A91" s="61" t="s">
        <v>143</v>
      </c>
      <c r="B91" s="59" t="s">
        <v>156</v>
      </c>
      <c r="C91" s="59" t="s">
        <v>156</v>
      </c>
      <c r="D91" s="59" t="s">
        <v>156</v>
      </c>
      <c r="E91" s="59" t="s">
        <v>156</v>
      </c>
      <c r="F91" s="60" t="s">
        <v>156</v>
      </c>
      <c r="G91" s="71">
        <f t="shared" si="7"/>
        <v>5</v>
      </c>
      <c r="H91" s="51">
        <f t="shared" si="8"/>
        <v>0</v>
      </c>
    </row>
    <row r="92" spans="1:8" ht="15.75" x14ac:dyDescent="0.25">
      <c r="A92" s="61" t="s">
        <v>144</v>
      </c>
      <c r="B92" s="59" t="s">
        <v>156</v>
      </c>
      <c r="C92" s="59" t="s">
        <v>156</v>
      </c>
      <c r="D92" s="59" t="s">
        <v>156</v>
      </c>
      <c r="E92" s="59" t="s">
        <v>156</v>
      </c>
      <c r="F92" s="60" t="s">
        <v>157</v>
      </c>
      <c r="G92" s="71">
        <f t="shared" si="7"/>
        <v>4</v>
      </c>
      <c r="H92" s="51">
        <f t="shared" si="8"/>
        <v>1</v>
      </c>
    </row>
    <row r="93" spans="1:8" ht="15.75" x14ac:dyDescent="0.25">
      <c r="A93" s="61" t="s">
        <v>145</v>
      </c>
      <c r="B93" s="59" t="s">
        <v>156</v>
      </c>
      <c r="C93" s="59" t="s">
        <v>156</v>
      </c>
      <c r="D93" s="59" t="s">
        <v>156</v>
      </c>
      <c r="E93" s="59" t="s">
        <v>156</v>
      </c>
      <c r="F93" s="60" t="s">
        <v>157</v>
      </c>
      <c r="G93" s="71">
        <f t="shared" si="7"/>
        <v>4</v>
      </c>
      <c r="H93" s="51">
        <f t="shared" si="8"/>
        <v>1</v>
      </c>
    </row>
    <row r="94" spans="1:8" ht="17.25" x14ac:dyDescent="0.25">
      <c r="A94" s="62" t="s">
        <v>57</v>
      </c>
      <c r="B94" s="59" t="s">
        <v>156</v>
      </c>
      <c r="C94" s="59" t="s">
        <v>156</v>
      </c>
      <c r="D94" s="59" t="s">
        <v>157</v>
      </c>
      <c r="E94" s="59" t="s">
        <v>156</v>
      </c>
      <c r="F94" s="60" t="s">
        <v>157</v>
      </c>
      <c r="G94" s="71">
        <f t="shared" si="7"/>
        <v>3</v>
      </c>
      <c r="H94" s="51">
        <f t="shared" si="8"/>
        <v>2</v>
      </c>
    </row>
    <row r="95" spans="1:8" ht="17.25" x14ac:dyDescent="0.25">
      <c r="A95" s="62" t="s">
        <v>60</v>
      </c>
      <c r="B95" s="59" t="s">
        <v>156</v>
      </c>
      <c r="C95" s="59" t="s">
        <v>157</v>
      </c>
      <c r="D95" s="59" t="s">
        <v>157</v>
      </c>
      <c r="E95" s="59" t="s">
        <v>156</v>
      </c>
      <c r="F95" s="60" t="s">
        <v>157</v>
      </c>
      <c r="G95" s="71">
        <f t="shared" si="7"/>
        <v>2</v>
      </c>
      <c r="H95" s="51">
        <f t="shared" si="8"/>
        <v>3</v>
      </c>
    </row>
    <row r="96" spans="1:8" ht="17.25" x14ac:dyDescent="0.25">
      <c r="A96" s="62" t="s">
        <v>63</v>
      </c>
      <c r="B96" s="59" t="s">
        <v>156</v>
      </c>
      <c r="C96" s="59" t="s">
        <v>157</v>
      </c>
      <c r="D96" s="59" t="s">
        <v>156</v>
      </c>
      <c r="E96" s="59" t="s">
        <v>156</v>
      </c>
      <c r="F96" s="60" t="s">
        <v>156</v>
      </c>
      <c r="G96" s="71">
        <f t="shared" si="7"/>
        <v>4</v>
      </c>
      <c r="H96" s="51">
        <f t="shared" si="8"/>
        <v>1</v>
      </c>
    </row>
    <row r="97" spans="1:9" ht="17.25" x14ac:dyDescent="0.25">
      <c r="A97" s="62" t="s">
        <v>66</v>
      </c>
      <c r="B97" s="59" t="s">
        <v>157</v>
      </c>
      <c r="C97" s="59" t="s">
        <v>156</v>
      </c>
      <c r="D97" s="59" t="s">
        <v>156</v>
      </c>
      <c r="E97" s="59" t="s">
        <v>156</v>
      </c>
      <c r="F97" s="60" t="s">
        <v>156</v>
      </c>
      <c r="G97" s="71">
        <f t="shared" si="7"/>
        <v>4</v>
      </c>
      <c r="H97" s="51">
        <f t="shared" si="8"/>
        <v>1</v>
      </c>
    </row>
    <row r="98" spans="1:9" ht="17.25" x14ac:dyDescent="0.25">
      <c r="A98" s="63" t="s">
        <v>85</v>
      </c>
      <c r="B98" s="59" t="s">
        <v>157</v>
      </c>
      <c r="C98" s="59" t="s">
        <v>156</v>
      </c>
      <c r="D98" s="59" t="s">
        <v>156</v>
      </c>
      <c r="E98" s="59" t="s">
        <v>156</v>
      </c>
      <c r="F98" s="60" t="s">
        <v>156</v>
      </c>
      <c r="G98" s="71">
        <f t="shared" si="7"/>
        <v>4</v>
      </c>
      <c r="H98" s="51">
        <f t="shared" si="8"/>
        <v>1</v>
      </c>
    </row>
    <row r="99" spans="1:9" ht="17.25" x14ac:dyDescent="0.25">
      <c r="A99" s="63" t="s">
        <v>86</v>
      </c>
      <c r="B99" s="59" t="s">
        <v>156</v>
      </c>
      <c r="C99" s="59" t="s">
        <v>156</v>
      </c>
      <c r="D99" s="59" t="s">
        <v>156</v>
      </c>
      <c r="E99" s="59" t="s">
        <v>157</v>
      </c>
      <c r="F99" s="60" t="s">
        <v>156</v>
      </c>
      <c r="G99" s="71">
        <f t="shared" si="7"/>
        <v>4</v>
      </c>
      <c r="H99" s="51">
        <f t="shared" si="8"/>
        <v>1</v>
      </c>
    </row>
    <row r="100" spans="1:9" ht="18" thickBot="1" x14ac:dyDescent="0.3">
      <c r="A100" s="64" t="s">
        <v>87</v>
      </c>
      <c r="B100" s="65" t="s">
        <v>156</v>
      </c>
      <c r="C100" s="65" t="s">
        <v>156</v>
      </c>
      <c r="D100" s="65" t="s">
        <v>156</v>
      </c>
      <c r="E100" s="65" t="s">
        <v>157</v>
      </c>
      <c r="F100" s="66" t="s">
        <v>156</v>
      </c>
      <c r="G100" s="72">
        <f t="shared" si="7"/>
        <v>4</v>
      </c>
      <c r="H100" s="52">
        <f t="shared" si="8"/>
        <v>1</v>
      </c>
    </row>
    <row r="101" spans="1:9" ht="19.5" thickBot="1" x14ac:dyDescent="0.3">
      <c r="H101" s="109" t="s">
        <v>212</v>
      </c>
    </row>
    <row r="102" spans="1:9" ht="19.5" thickBot="1" x14ac:dyDescent="0.35">
      <c r="A102" s="89" t="s">
        <v>184</v>
      </c>
      <c r="B102" s="90"/>
      <c r="D102" s="75" t="s">
        <v>206</v>
      </c>
      <c r="E102" s="76"/>
      <c r="G102" s="101" t="s">
        <v>101</v>
      </c>
      <c r="H102" s="102" t="s">
        <v>1</v>
      </c>
      <c r="I102" s="103" t="s">
        <v>207</v>
      </c>
    </row>
    <row r="103" spans="1:9" ht="32.25" thickBot="1" x14ac:dyDescent="0.3">
      <c r="A103" s="85" t="s">
        <v>161</v>
      </c>
      <c r="B103" s="85" t="s">
        <v>53</v>
      </c>
      <c r="D103" s="91" t="s">
        <v>185</v>
      </c>
      <c r="E103" s="92" t="s">
        <v>53</v>
      </c>
      <c r="G103" s="96">
        <v>1</v>
      </c>
      <c r="H103" s="97" t="s">
        <v>144</v>
      </c>
      <c r="I103" s="104">
        <f ca="1">RANDBETWEEN(20,100)</f>
        <v>33</v>
      </c>
    </row>
    <row r="104" spans="1:9" ht="16.5" thickBot="1" x14ac:dyDescent="0.3">
      <c r="A104" s="86" t="s">
        <v>162</v>
      </c>
      <c r="B104" s="86">
        <f ca="1">RANDBETWEEN(1000,20000)</f>
        <v>4521</v>
      </c>
      <c r="D104" s="31" t="s">
        <v>186</v>
      </c>
      <c r="E104" s="93">
        <f ca="1">RANDBETWEEN(1000,35000)</f>
        <v>26584</v>
      </c>
      <c r="G104" s="96">
        <v>2</v>
      </c>
      <c r="H104" s="97" t="s">
        <v>208</v>
      </c>
      <c r="I104" s="104">
        <f t="shared" ref="I104:I122" ca="1" si="9">RANDBETWEEN(20,100)</f>
        <v>85</v>
      </c>
    </row>
    <row r="105" spans="1:9" ht="16.5" thickBot="1" x14ac:dyDescent="0.3">
      <c r="A105" s="86" t="s">
        <v>163</v>
      </c>
      <c r="B105" s="86">
        <f t="shared" ref="B105:B122" ca="1" si="10">RANDBETWEEN(1000,20000)</f>
        <v>2928</v>
      </c>
      <c r="D105" s="31" t="s">
        <v>187</v>
      </c>
      <c r="E105" s="93">
        <f t="shared" ref="E105:E123" ca="1" si="11">RANDBETWEEN(1000,35000)</f>
        <v>21959</v>
      </c>
      <c r="G105" s="96">
        <v>3</v>
      </c>
      <c r="H105" s="97" t="s">
        <v>209</v>
      </c>
      <c r="I105" s="104">
        <f t="shared" ca="1" si="9"/>
        <v>75</v>
      </c>
    </row>
    <row r="106" spans="1:9" ht="16.5" thickBot="1" x14ac:dyDescent="0.3">
      <c r="A106" s="86" t="s">
        <v>164</v>
      </c>
      <c r="B106" s="86">
        <f t="shared" ca="1" si="10"/>
        <v>5426</v>
      </c>
      <c r="D106" s="31" t="s">
        <v>188</v>
      </c>
      <c r="E106" s="93">
        <f t="shared" ca="1" si="11"/>
        <v>12910</v>
      </c>
      <c r="G106" s="96">
        <v>4</v>
      </c>
      <c r="H106" s="97" t="s">
        <v>210</v>
      </c>
      <c r="I106" s="104">
        <f t="shared" ca="1" si="9"/>
        <v>74</v>
      </c>
    </row>
    <row r="107" spans="1:9" ht="16.5" thickBot="1" x14ac:dyDescent="0.3">
      <c r="A107" s="86" t="s">
        <v>165</v>
      </c>
      <c r="B107" s="86">
        <f t="shared" ca="1" si="10"/>
        <v>19812</v>
      </c>
      <c r="D107" s="31" t="s">
        <v>189</v>
      </c>
      <c r="E107" s="93">
        <f t="shared" ca="1" si="11"/>
        <v>4284</v>
      </c>
      <c r="G107" s="96">
        <v>5</v>
      </c>
      <c r="H107" s="97" t="s">
        <v>211</v>
      </c>
      <c r="I107" s="104">
        <f t="shared" ca="1" si="9"/>
        <v>52</v>
      </c>
    </row>
    <row r="108" spans="1:9" ht="16.5" thickBot="1" x14ac:dyDescent="0.3">
      <c r="A108" s="86" t="s">
        <v>166</v>
      </c>
      <c r="B108" s="86">
        <f t="shared" ca="1" si="10"/>
        <v>7771</v>
      </c>
      <c r="D108" s="31" t="s">
        <v>190</v>
      </c>
      <c r="E108" s="93">
        <f t="shared" ca="1" si="11"/>
        <v>1450</v>
      </c>
      <c r="G108" s="96">
        <v>6</v>
      </c>
      <c r="H108" s="98" t="s">
        <v>107</v>
      </c>
      <c r="I108" s="37">
        <f t="shared" ca="1" si="9"/>
        <v>70</v>
      </c>
    </row>
    <row r="109" spans="1:9" ht="16.5" thickBot="1" x14ac:dyDescent="0.3">
      <c r="A109" s="86" t="s">
        <v>167</v>
      </c>
      <c r="B109" s="86">
        <f t="shared" ca="1" si="10"/>
        <v>10250</v>
      </c>
      <c r="D109" s="31" t="s">
        <v>191</v>
      </c>
      <c r="E109" s="93">
        <f t="shared" ca="1" si="11"/>
        <v>32874</v>
      </c>
      <c r="G109" s="96">
        <v>7</v>
      </c>
      <c r="H109" s="98" t="s">
        <v>108</v>
      </c>
      <c r="I109" s="37">
        <f t="shared" ca="1" si="9"/>
        <v>32</v>
      </c>
    </row>
    <row r="110" spans="1:9" ht="16.5" thickBot="1" x14ac:dyDescent="0.3">
      <c r="A110" s="86" t="s">
        <v>168</v>
      </c>
      <c r="B110" s="86">
        <f t="shared" ca="1" si="10"/>
        <v>11496</v>
      </c>
      <c r="D110" s="31" t="s">
        <v>192</v>
      </c>
      <c r="E110" s="93">
        <f t="shared" ca="1" si="11"/>
        <v>5850</v>
      </c>
      <c r="G110" s="96">
        <v>8</v>
      </c>
      <c r="H110" s="98" t="s">
        <v>109</v>
      </c>
      <c r="I110" s="37">
        <f t="shared" ca="1" si="9"/>
        <v>90</v>
      </c>
    </row>
    <row r="111" spans="1:9" ht="16.5" thickBot="1" x14ac:dyDescent="0.3">
      <c r="A111" s="86" t="s">
        <v>169</v>
      </c>
      <c r="B111" s="86">
        <f t="shared" ca="1" si="10"/>
        <v>15609</v>
      </c>
      <c r="D111" s="31" t="s">
        <v>193</v>
      </c>
      <c r="E111" s="93">
        <f t="shared" ca="1" si="11"/>
        <v>32053</v>
      </c>
      <c r="G111" s="96">
        <v>9</v>
      </c>
      <c r="H111" s="98" t="s">
        <v>110</v>
      </c>
      <c r="I111" s="37">
        <f t="shared" ca="1" si="9"/>
        <v>90</v>
      </c>
    </row>
    <row r="112" spans="1:9" ht="16.5" thickBot="1" x14ac:dyDescent="0.3">
      <c r="A112" s="86" t="s">
        <v>170</v>
      </c>
      <c r="B112" s="86">
        <f t="shared" ca="1" si="10"/>
        <v>10056</v>
      </c>
      <c r="D112" s="31" t="s">
        <v>194</v>
      </c>
      <c r="E112" s="93">
        <f t="shared" ca="1" si="11"/>
        <v>20761</v>
      </c>
      <c r="G112" s="96">
        <v>10</v>
      </c>
      <c r="H112" s="97" t="s">
        <v>140</v>
      </c>
      <c r="I112" s="37">
        <f t="shared" ca="1" si="9"/>
        <v>42</v>
      </c>
    </row>
    <row r="113" spans="1:9" ht="16.5" thickBot="1" x14ac:dyDescent="0.3">
      <c r="A113" s="86" t="s">
        <v>171</v>
      </c>
      <c r="B113" s="86">
        <f t="shared" ca="1" si="10"/>
        <v>9537</v>
      </c>
      <c r="D113" s="31" t="s">
        <v>195</v>
      </c>
      <c r="E113" s="93">
        <f t="shared" ca="1" si="11"/>
        <v>21334</v>
      </c>
      <c r="G113" s="96">
        <v>11</v>
      </c>
      <c r="H113" s="97" t="s">
        <v>141</v>
      </c>
      <c r="I113" s="37">
        <f t="shared" ca="1" si="9"/>
        <v>49</v>
      </c>
    </row>
    <row r="114" spans="1:9" ht="16.5" thickBot="1" x14ac:dyDescent="0.3">
      <c r="A114" s="86" t="s">
        <v>172</v>
      </c>
      <c r="B114" s="86">
        <f t="shared" ca="1" si="10"/>
        <v>14466</v>
      </c>
      <c r="D114" s="31" t="s">
        <v>196</v>
      </c>
      <c r="E114" s="93">
        <f t="shared" ca="1" si="11"/>
        <v>16026</v>
      </c>
      <c r="G114" s="96">
        <v>12</v>
      </c>
      <c r="H114" s="97" t="s">
        <v>142</v>
      </c>
      <c r="I114" s="37">
        <f t="shared" ca="1" si="9"/>
        <v>55</v>
      </c>
    </row>
    <row r="115" spans="1:9" ht="16.5" thickBot="1" x14ac:dyDescent="0.3">
      <c r="A115" s="86" t="s">
        <v>173</v>
      </c>
      <c r="B115" s="86">
        <f t="shared" ca="1" si="10"/>
        <v>15604</v>
      </c>
      <c r="D115" s="31" t="s">
        <v>197</v>
      </c>
      <c r="E115" s="93">
        <f t="shared" ca="1" si="11"/>
        <v>29562</v>
      </c>
      <c r="G115" s="96">
        <v>13</v>
      </c>
      <c r="H115" s="97" t="s">
        <v>143</v>
      </c>
      <c r="I115" s="37">
        <f t="shared" ca="1" si="9"/>
        <v>92</v>
      </c>
    </row>
    <row r="116" spans="1:9" ht="16.5" thickBot="1" x14ac:dyDescent="0.3">
      <c r="A116" s="86" t="s">
        <v>174</v>
      </c>
      <c r="B116" s="86">
        <f t="shared" ca="1" si="10"/>
        <v>11697</v>
      </c>
      <c r="D116" s="31" t="s">
        <v>198</v>
      </c>
      <c r="E116" s="93">
        <f t="shared" ca="1" si="11"/>
        <v>14598</v>
      </c>
      <c r="G116" s="96">
        <v>14</v>
      </c>
      <c r="H116" s="97" t="s">
        <v>144</v>
      </c>
      <c r="I116" s="37">
        <f t="shared" ca="1" si="9"/>
        <v>50</v>
      </c>
    </row>
    <row r="117" spans="1:9" ht="16.5" thickBot="1" x14ac:dyDescent="0.3">
      <c r="A117" s="86" t="s">
        <v>175</v>
      </c>
      <c r="B117" s="86">
        <f t="shared" ca="1" si="10"/>
        <v>15373</v>
      </c>
      <c r="D117" s="31" t="s">
        <v>199</v>
      </c>
      <c r="E117" s="93">
        <f t="shared" ca="1" si="11"/>
        <v>5762</v>
      </c>
      <c r="G117" s="96">
        <v>15</v>
      </c>
      <c r="H117" s="97" t="s">
        <v>145</v>
      </c>
      <c r="I117" s="37">
        <f t="shared" ca="1" si="9"/>
        <v>30</v>
      </c>
    </row>
    <row r="118" spans="1:9" ht="18" thickBot="1" x14ac:dyDescent="0.35">
      <c r="A118" s="86" t="s">
        <v>176</v>
      </c>
      <c r="B118" s="86">
        <f t="shared" ca="1" si="10"/>
        <v>12705</v>
      </c>
      <c r="D118" s="31" t="s">
        <v>200</v>
      </c>
      <c r="E118" s="93">
        <f t="shared" ca="1" si="11"/>
        <v>30611</v>
      </c>
      <c r="G118" s="96">
        <v>16</v>
      </c>
      <c r="H118" s="99" t="s">
        <v>57</v>
      </c>
      <c r="I118" s="37">
        <f t="shared" ca="1" si="9"/>
        <v>83</v>
      </c>
    </row>
    <row r="119" spans="1:9" ht="32.25" thickBot="1" x14ac:dyDescent="0.35">
      <c r="A119" s="86" t="s">
        <v>177</v>
      </c>
      <c r="B119" s="86">
        <f t="shared" ca="1" si="10"/>
        <v>2968</v>
      </c>
      <c r="D119" s="31" t="s">
        <v>201</v>
      </c>
      <c r="E119" s="93">
        <f t="shared" ca="1" si="11"/>
        <v>2447</v>
      </c>
      <c r="G119" s="96">
        <v>17</v>
      </c>
      <c r="H119" s="99" t="s">
        <v>60</v>
      </c>
      <c r="I119" s="37">
        <f t="shared" ca="1" si="9"/>
        <v>93</v>
      </c>
    </row>
    <row r="120" spans="1:9" ht="32.25" thickBot="1" x14ac:dyDescent="0.35">
      <c r="A120" s="86" t="s">
        <v>178</v>
      </c>
      <c r="B120" s="86">
        <f t="shared" ca="1" si="10"/>
        <v>1183</v>
      </c>
      <c r="D120" s="31" t="s">
        <v>202</v>
      </c>
      <c r="E120" s="93">
        <f t="shared" ca="1" si="11"/>
        <v>14889</v>
      </c>
      <c r="G120" s="96">
        <v>18</v>
      </c>
      <c r="H120" s="99" t="s">
        <v>66</v>
      </c>
      <c r="I120" s="37">
        <f t="shared" ca="1" si="9"/>
        <v>76</v>
      </c>
    </row>
    <row r="121" spans="1:9" ht="18" thickBot="1" x14ac:dyDescent="0.35">
      <c r="A121" s="86" t="s">
        <v>179</v>
      </c>
      <c r="B121" s="86">
        <f t="shared" ca="1" si="10"/>
        <v>8736</v>
      </c>
      <c r="D121" s="31" t="s">
        <v>203</v>
      </c>
      <c r="E121" s="93">
        <f t="shared" ca="1" si="11"/>
        <v>19289</v>
      </c>
      <c r="G121" s="96">
        <v>19</v>
      </c>
      <c r="H121" s="100" t="s">
        <v>85</v>
      </c>
      <c r="I121" s="37">
        <f t="shared" ca="1" si="9"/>
        <v>37</v>
      </c>
    </row>
    <row r="122" spans="1:9" ht="18" thickBot="1" x14ac:dyDescent="0.35">
      <c r="A122" s="86" t="s">
        <v>180</v>
      </c>
      <c r="B122" s="86">
        <f t="shared" ca="1" si="10"/>
        <v>18535</v>
      </c>
      <c r="D122" s="31" t="s">
        <v>204</v>
      </c>
      <c r="E122" s="93">
        <f t="shared" ca="1" si="11"/>
        <v>27424</v>
      </c>
      <c r="G122" s="105">
        <v>20</v>
      </c>
      <c r="H122" s="106" t="s">
        <v>86</v>
      </c>
      <c r="I122" s="38">
        <f t="shared" ca="1" si="9"/>
        <v>20</v>
      </c>
    </row>
    <row r="123" spans="1:9" ht="32.25" thickBot="1" x14ac:dyDescent="0.3">
      <c r="A123" s="86" t="s">
        <v>181</v>
      </c>
      <c r="B123" s="86">
        <f t="shared" ref="B123" ca="1" si="12">RANDBETWEEN(1000,20000)</f>
        <v>15670</v>
      </c>
      <c r="D123" s="94" t="s">
        <v>205</v>
      </c>
      <c r="E123" s="95">
        <f t="shared" ca="1" si="11"/>
        <v>17273</v>
      </c>
    </row>
    <row r="124" spans="1:9" ht="15.75" thickBot="1" x14ac:dyDescent="0.3"/>
    <row r="125" spans="1:9" ht="16.5" thickBot="1" x14ac:dyDescent="0.3">
      <c r="A125" s="87" t="s">
        <v>182</v>
      </c>
      <c r="B125" s="87">
        <f ca="1">COUNTIF(B104:B123, "&lt;5000")</f>
        <v>4</v>
      </c>
    </row>
    <row r="126" spans="1:9" ht="32.25" thickBot="1" x14ac:dyDescent="0.3">
      <c r="A126" s="87" t="s">
        <v>183</v>
      </c>
      <c r="B126" s="88">
        <f ca="1">COUNTIF(B104:B123,"&gt;10000")</f>
        <v>12</v>
      </c>
    </row>
    <row r="127" spans="1:9" ht="15.75" thickBot="1" x14ac:dyDescent="0.3"/>
    <row r="128" spans="1:9" ht="19.5" thickBot="1" x14ac:dyDescent="0.35">
      <c r="B128" s="75" t="s">
        <v>218</v>
      </c>
      <c r="C128" s="76"/>
    </row>
    <row r="129" spans="2:3" ht="31.5" x14ac:dyDescent="0.25">
      <c r="B129" s="91" t="s">
        <v>139</v>
      </c>
      <c r="C129" s="92" t="s">
        <v>3</v>
      </c>
    </row>
    <row r="130" spans="2:3" ht="15.75" x14ac:dyDescent="0.25">
      <c r="B130" s="61" t="s">
        <v>213</v>
      </c>
      <c r="C130" s="36">
        <f ca="1">RANDBETWEEN(20000,70000)</f>
        <v>66649</v>
      </c>
    </row>
    <row r="131" spans="2:3" ht="15.75" x14ac:dyDescent="0.25">
      <c r="B131" s="61" t="s">
        <v>214</v>
      </c>
      <c r="C131" s="36">
        <f t="shared" ref="C131:C149" ca="1" si="13">RANDBETWEEN(20000,70000)</f>
        <v>56908</v>
      </c>
    </row>
    <row r="132" spans="2:3" ht="15.75" x14ac:dyDescent="0.25">
      <c r="B132" s="61" t="s">
        <v>215</v>
      </c>
      <c r="C132" s="36">
        <f t="shared" ca="1" si="13"/>
        <v>60650</v>
      </c>
    </row>
    <row r="133" spans="2:3" ht="15.75" x14ac:dyDescent="0.25">
      <c r="B133" s="61" t="s">
        <v>216</v>
      </c>
      <c r="C133" s="36">
        <f t="shared" ca="1" si="13"/>
        <v>49486</v>
      </c>
    </row>
    <row r="134" spans="2:3" ht="15.75" x14ac:dyDescent="0.25">
      <c r="B134" s="61" t="s">
        <v>217</v>
      </c>
      <c r="C134" s="36">
        <f t="shared" ca="1" si="13"/>
        <v>63057</v>
      </c>
    </row>
    <row r="135" spans="2:3" ht="15.75" x14ac:dyDescent="0.25">
      <c r="B135" s="61" t="s">
        <v>144</v>
      </c>
      <c r="C135" s="36">
        <f t="shared" ca="1" si="13"/>
        <v>23535</v>
      </c>
    </row>
    <row r="136" spans="2:3" ht="15.75" x14ac:dyDescent="0.25">
      <c r="B136" s="61" t="s">
        <v>208</v>
      </c>
      <c r="C136" s="36">
        <f t="shared" ca="1" si="13"/>
        <v>20071</v>
      </c>
    </row>
    <row r="137" spans="2:3" ht="15.75" x14ac:dyDescent="0.25">
      <c r="B137" s="61" t="s">
        <v>209</v>
      </c>
      <c r="C137" s="36">
        <f t="shared" ca="1" si="13"/>
        <v>25284</v>
      </c>
    </row>
    <row r="138" spans="2:3" ht="15.75" x14ac:dyDescent="0.25">
      <c r="B138" s="61" t="s">
        <v>210</v>
      </c>
      <c r="C138" s="36">
        <f t="shared" ca="1" si="13"/>
        <v>33244</v>
      </c>
    </row>
    <row r="139" spans="2:3" ht="15.75" x14ac:dyDescent="0.25">
      <c r="B139" s="61" t="s">
        <v>211</v>
      </c>
      <c r="C139" s="36">
        <f t="shared" ca="1" si="13"/>
        <v>64109</v>
      </c>
    </row>
    <row r="140" spans="2:3" ht="15.75" x14ac:dyDescent="0.25">
      <c r="B140" s="58" t="s">
        <v>107</v>
      </c>
      <c r="C140" s="36">
        <f t="shared" ca="1" si="13"/>
        <v>53479</v>
      </c>
    </row>
    <row r="141" spans="2:3" ht="15.75" x14ac:dyDescent="0.25">
      <c r="B141" s="58" t="s">
        <v>108</v>
      </c>
      <c r="C141" s="36">
        <f t="shared" ca="1" si="13"/>
        <v>63583</v>
      </c>
    </row>
    <row r="142" spans="2:3" ht="15.75" x14ac:dyDescent="0.25">
      <c r="B142" s="58" t="s">
        <v>109</v>
      </c>
      <c r="C142" s="36">
        <f t="shared" ca="1" si="13"/>
        <v>33204</v>
      </c>
    </row>
    <row r="143" spans="2:3" ht="15.75" x14ac:dyDescent="0.25">
      <c r="B143" s="58" t="s">
        <v>110</v>
      </c>
      <c r="C143" s="36">
        <f t="shared" ca="1" si="13"/>
        <v>38776</v>
      </c>
    </row>
    <row r="144" spans="2:3" ht="15.75" x14ac:dyDescent="0.25">
      <c r="B144" s="61" t="s">
        <v>140</v>
      </c>
      <c r="C144" s="36">
        <f t="shared" ca="1" si="13"/>
        <v>34813</v>
      </c>
    </row>
    <row r="145" spans="2:3" ht="15.75" x14ac:dyDescent="0.25">
      <c r="B145" s="61" t="s">
        <v>141</v>
      </c>
      <c r="C145" s="36">
        <f t="shared" ca="1" si="13"/>
        <v>21392</v>
      </c>
    </row>
    <row r="146" spans="2:3" ht="15.75" x14ac:dyDescent="0.25">
      <c r="B146" s="61" t="s">
        <v>142</v>
      </c>
      <c r="C146" s="36">
        <f t="shared" ca="1" si="13"/>
        <v>45331</v>
      </c>
    </row>
    <row r="147" spans="2:3" ht="15.75" x14ac:dyDescent="0.25">
      <c r="B147" s="61" t="s">
        <v>143</v>
      </c>
      <c r="C147" s="36">
        <f t="shared" ca="1" si="13"/>
        <v>20105</v>
      </c>
    </row>
    <row r="148" spans="2:3" ht="15.75" x14ac:dyDescent="0.25">
      <c r="B148" s="61" t="s">
        <v>144</v>
      </c>
      <c r="C148" s="36">
        <f t="shared" ca="1" si="13"/>
        <v>29210</v>
      </c>
    </row>
    <row r="149" spans="2:3" ht="16.5" thickBot="1" x14ac:dyDescent="0.3">
      <c r="B149" s="107" t="s">
        <v>145</v>
      </c>
      <c r="C149" s="108">
        <f t="shared" ca="1" si="13"/>
        <v>51641</v>
      </c>
    </row>
  </sheetData>
  <mergeCells count="8">
    <mergeCell ref="A102:B102"/>
    <mergeCell ref="D102:E102"/>
    <mergeCell ref="B128:C128"/>
    <mergeCell ref="B1:C1"/>
    <mergeCell ref="I1:J1"/>
    <mergeCell ref="H2:K2"/>
    <mergeCell ref="C25:E25"/>
    <mergeCell ref="C81:D81"/>
  </mergeCells>
  <phoneticPr fontId="3" type="noConversion"/>
  <conditionalFormatting sqref="C52:C71">
    <cfRule type="top10" dxfId="24" priority="12" bottom="1" rank="1"/>
    <cfRule type="top10" dxfId="23" priority="13" rank="1"/>
  </conditionalFormatting>
  <conditionalFormatting sqref="E104:E123">
    <cfRule type="cellIs" dxfId="22" priority="8" operator="lessThan">
      <formula>5000</formula>
    </cfRule>
    <cfRule type="cellIs" dxfId="21" priority="9" operator="greaterThan">
      <formula>20000</formula>
    </cfRule>
    <cfRule type="cellIs" dxfId="20" priority="10" operator="lessThan">
      <formula>5000</formula>
    </cfRule>
    <cfRule type="cellIs" dxfId="19" priority="11" operator="greaterThan">
      <formula>20000</formula>
    </cfRule>
  </conditionalFormatting>
  <conditionalFormatting sqref="I103:I122">
    <cfRule type="expression" dxfId="18" priority="7">
      <formula>"75 Greater Than Or Equal"</formula>
    </cfRule>
    <cfRule type="cellIs" dxfId="17" priority="6" operator="greaterThanOrEqual">
      <formula>75</formula>
    </cfRule>
    <cfRule type="cellIs" dxfId="16" priority="5" operator="lessThan">
      <formula>40</formula>
    </cfRule>
  </conditionalFormatting>
  <conditionalFormatting sqref="C130:C149">
    <cfRule type="cellIs" dxfId="0" priority="4" operator="greaterThanOrEqual">
      <formula>50000</formula>
    </cfRule>
    <cfRule type="cellIs" dxfId="1" priority="3" operator="between">
      <formula>30000</formula>
      <formula>49999</formula>
    </cfRule>
    <cfRule type="cellIs" dxfId="2" priority="2" operator="lessThan">
      <formula>30000</formula>
    </cfRule>
    <cfRule type="cellIs" dxfId="3" priority="1" operator="lessThan">
      <formula>30000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2026-06-23T15:14:17Z</dcterms:created>
  <dcterms:modified xsi:type="dcterms:W3CDTF">2026-06-24T05:41:33Z</dcterms:modified>
</cp:coreProperties>
</file>