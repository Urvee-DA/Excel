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0859F51E-0B93-4C9F-ADA3-027B41C4CF45}" xr6:coauthVersionLast="45" xr6:coauthVersionMax="45" xr10:uidLastSave="{00000000-0000-0000-0000-000000000000}"/>
  <bookViews>
    <workbookView xWindow="-120" yWindow="-120" windowWidth="20730" windowHeight="11040" xr2:uid="{3E623D28-A9F0-48BA-BC37-40580D7EE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9" i="1" l="1"/>
  <c r="D80" i="1"/>
  <c r="D81" i="1"/>
  <c r="D78" i="1"/>
  <c r="C71" i="1"/>
  <c r="C72" i="1"/>
  <c r="C73" i="1"/>
  <c r="C70" i="1"/>
  <c r="C63" i="1"/>
  <c r="C64" i="1"/>
  <c r="C65" i="1"/>
  <c r="C62" i="1"/>
  <c r="D55" i="1"/>
  <c r="D56" i="1"/>
  <c r="D57" i="1"/>
  <c r="D54" i="1"/>
  <c r="D47" i="1"/>
  <c r="D48" i="1"/>
  <c r="D49" i="1"/>
  <c r="D46" i="1"/>
  <c r="D39" i="1"/>
  <c r="D40" i="1"/>
  <c r="D41" i="1"/>
  <c r="D38" i="1"/>
  <c r="D31" i="1"/>
  <c r="D32" i="1"/>
  <c r="D33" i="1"/>
  <c r="D30" i="1"/>
  <c r="C22" i="1"/>
  <c r="C23" i="1"/>
  <c r="C24" i="1"/>
  <c r="C25" i="1"/>
  <c r="C21" i="1"/>
</calcChain>
</file>

<file path=xl/sharedStrings.xml><?xml version="1.0" encoding="utf-8"?>
<sst xmlns="http://schemas.openxmlformats.org/spreadsheetml/2006/main" count="120" uniqueCount="78">
  <si>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</si>
  <si>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</si>
  <si>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</si>
  <si>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</si>
  <si>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</si>
  <si>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</si>
  <si>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</si>
  <si>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</si>
  <si>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</si>
  <si>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If Marks ≥ 40 → Pass</t>
  </si>
  <si>
    <t>Else → Fail</t>
  </si>
  <si>
    <t>Task 1: Pass / Fail using IF</t>
  </si>
  <si>
    <t>Task 2: Salary Bonus Check (IF)</t>
  </si>
  <si>
    <t>Pass</t>
  </si>
  <si>
    <t>Fail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</si>
  <si>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</si>
  <si>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</si>
  <si>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</si>
  <si>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</si>
  <si>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</si>
  <si>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</si>
  <si>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</si>
  <si>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</si>
  <si>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</si>
  <si>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No Bouns</t>
  </si>
  <si>
    <t>Bonus</t>
  </si>
  <si>
    <t>Task 3: Grade Calculation (Nested IF)</t>
  </si>
  <si>
    <t>Grade</t>
  </si>
  <si>
    <t>≥ 75 → A</t>
  </si>
  <si>
    <t>≥ 60 → B</t>
  </si>
  <si>
    <t>≥ 40 → C</t>
  </si>
  <si>
    <t>&lt; 40 → Fail</t>
  </si>
  <si>
    <t>Task 4: Job Eligibility (AND)</t>
  </si>
  <si>
    <t>Name</t>
  </si>
  <si>
    <t>Age</t>
  </si>
  <si>
    <t>Experience (Years)</t>
  </si>
  <si>
    <t>Eligible</t>
  </si>
  <si>
    <t>Age ≥ 21 AND Experience ≥ 1 → Eligible</t>
  </si>
  <si>
    <t>Task 5: Exam Eligibility (AND)</t>
  </si>
  <si>
    <t>Attendance %</t>
  </si>
  <si>
    <t>Assignment Submitted</t>
  </si>
  <si>
    <t>Yes</t>
  </si>
  <si>
    <t>No</t>
  </si>
  <si>
    <t>Attendance ≥ 75 AND Assignment = Yes</t>
  </si>
  <si>
    <t>Task 6: Discount Logic (OR)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</si>
  <si>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</si>
  <si>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</si>
  <si>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</si>
  <si>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</si>
  <si>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</si>
  <si>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</si>
  <si>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</si>
  <si>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</si>
  <si>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Task 7: Loan Approval (OR)</t>
  </si>
  <si>
    <t>Applicant</t>
  </si>
  <si>
    <t>CIBIL Score</t>
  </si>
  <si>
    <t>Loan Status</t>
  </si>
  <si>
    <t>Salary ≥ 40000 OR CIBIL ≥ 700</t>
  </si>
  <si>
    <t>Task 8: Attendance Status (NOT)</t>
  </si>
  <si>
    <t>Present</t>
  </si>
  <si>
    <t>Status</t>
  </si>
  <si>
    <t>If NOT Present → Absent</t>
  </si>
  <si>
    <t>Else → Present</t>
  </si>
  <si>
    <t>Task 9: Safe Division (IFERROR)</t>
  </si>
  <si>
    <t>Number 1</t>
  </si>
  <si>
    <t>Number 2</t>
  </si>
  <si>
    <t>Divide Number 1 by Number 2</t>
  </si>
  <si>
    <t>If error → show "Invalid"</t>
  </si>
  <si>
    <t>Task 10: Performance Evaluation (Combined Logic)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</si>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</sst>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3D444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 indent="1"/>
      <protection locked="0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5B3B-4DF2-4B20-B7C0-2100EFEBF020}">
  <dimension ref="A2:H81"/>
  <sheetViews>
    <sheetView tabSelected="1" topLeftCell="A70" workbookViewId="0">
      <selection activeCell="D78" sqref="D78:D81"/>
    </sheetView>
  </sheetViews>
  <sheetFormatPr defaultRowHeight="15" x14ac:dyDescent="0.25"/>
  <cols>
    <col min="1" max="1" width="12" customWidth="1"/>
    <col min="3" max="3" width="10.85546875" customWidth="1"/>
    <col min="4" max="4" width="12.140625" customWidth="1"/>
  </cols>
  <sheetData>
    <row r="2" spans="1:8" ht="15.75" customHeight="1" thickBot="1" x14ac:dyDescent="0.3">
      <c r="A2" s="3" t="s">
        <v>11</v>
      </c>
      <c r="B2" s="3"/>
      <c r="C2" s="3"/>
      <c r="D2" s="3"/>
    </row>
    <row r="3" spans="1:8" ht="32.25" thickBo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8" ht="16.5" thickBot="1" x14ac:dyDescent="0.3">
      <c r="A4" s="6">
        <v>1</v>
      </c>
      <c r="B4" s="6" t="s">
        <v>4</v>
      </c>
      <c r="C4" s="6">
        <v>78</v>
      </c>
      <c r="D4" s="6" t="s">
        <v>13</v>
      </c>
    </row>
    <row r="5" spans="1:8" ht="16.5" thickBot="1" x14ac:dyDescent="0.3">
      <c r="A5" s="6">
        <v>2</v>
      </c>
      <c r="B5" s="6" t="s">
        <v>5</v>
      </c>
      <c r="C5" s="6">
        <v>35</v>
      </c>
      <c r="D5" s="6" t="s">
        <v>14</v>
      </c>
      <c r="H5" t="s">
        <v>9</v>
      </c>
    </row>
    <row r="6" spans="1:8" ht="16.5" thickBot="1" x14ac:dyDescent="0.3">
      <c r="A6" s="6">
        <v>3</v>
      </c>
      <c r="B6" s="6" t="s">
        <v>6</v>
      </c>
      <c r="C6" s="6">
        <v>62</v>
      </c>
      <c r="D6" s="6" t="s">
        <v>13</v>
      </c>
      <c r="H6" t="s">
        <v>10</v>
      </c>
    </row>
    <row r="7" spans="1:8" ht="16.5" thickBot="1" x14ac:dyDescent="0.3">
      <c r="A7" s="6">
        <v>4</v>
      </c>
      <c r="B7" s="6" t="s">
        <v>7</v>
      </c>
      <c r="C7" s="6">
        <v>40</v>
      </c>
      <c r="D7" s="6" t="s">
        <v>14</v>
      </c>
    </row>
    <row r="8" spans="1:8" ht="16.5" thickBot="1" x14ac:dyDescent="0.3">
      <c r="A8" s="6">
        <v>5</v>
      </c>
      <c r="B8" s="6" t="s">
        <v>8</v>
      </c>
      <c r="C8" s="6">
        <v>28</v>
      </c>
      <c r="D8" s="6" t="s">
        <v>13</v>
      </c>
    </row>
    <row r="11" spans="1:8" ht="16.5" thickBot="1" x14ac:dyDescent="0.3">
      <c r="A11" s="5" t="s">
        <v>12</v>
      </c>
      <c r="B11" s="5"/>
      <c r="C11" s="5"/>
    </row>
    <row r="12" spans="1:8" ht="32.25" thickBot="1" x14ac:dyDescent="0.3">
      <c r="A12" s="1" t="s">
        <v>15</v>
      </c>
      <c r="B12" s="1" t="s">
        <v>16</v>
      </c>
      <c r="C12" s="1" t="s">
        <v>17</v>
      </c>
    </row>
    <row r="13" spans="1:8" ht="16.5" thickBot="1" x14ac:dyDescent="0.3">
      <c r="A13" s="2" t="s">
        <v>18</v>
      </c>
      <c r="B13" s="2">
        <v>28000</v>
      </c>
      <c r="C13" s="2" t="s">
        <v>24</v>
      </c>
      <c r="H13" t="s">
        <v>22</v>
      </c>
    </row>
    <row r="14" spans="1:8" ht="16.5" thickBot="1" x14ac:dyDescent="0.3">
      <c r="A14" s="2" t="s">
        <v>19</v>
      </c>
      <c r="B14" s="2">
        <v>45000</v>
      </c>
      <c r="C14" s="2" t="s">
        <v>25</v>
      </c>
      <c r="H14" t="s">
        <v>23</v>
      </c>
    </row>
    <row r="15" spans="1:8" ht="16.5" thickBot="1" x14ac:dyDescent="0.3">
      <c r="A15" s="2" t="s">
        <v>20</v>
      </c>
      <c r="B15" s="2">
        <v>52000</v>
      </c>
      <c r="C15" s="2" t="s">
        <v>25</v>
      </c>
    </row>
    <row r="16" spans="1:8" ht="16.5" thickBot="1" x14ac:dyDescent="0.3">
      <c r="A16" s="2" t="s">
        <v>21</v>
      </c>
      <c r="B16" s="2">
        <v>30000</v>
      </c>
      <c r="C16" s="2" t="s">
        <v>24</v>
      </c>
    </row>
    <row r="19" spans="1:8" ht="15.75" thickBot="1" x14ac:dyDescent="0.3">
      <c r="A19" t="s">
        <v>26</v>
      </c>
    </row>
    <row r="20" spans="1:8" ht="32.25" thickBot="1" x14ac:dyDescent="0.3">
      <c r="A20" s="7" t="s">
        <v>1</v>
      </c>
      <c r="B20" s="7" t="s">
        <v>2</v>
      </c>
      <c r="C20" s="7" t="s">
        <v>27</v>
      </c>
    </row>
    <row r="21" spans="1:8" ht="16.5" thickBot="1" x14ac:dyDescent="0.3">
      <c r="A21" s="8" t="s">
        <v>4</v>
      </c>
      <c r="B21" s="8">
        <v>82</v>
      </c>
      <c r="C21" s="8" t="str">
        <f>IF(B21&gt;=75,"A",IF(B21&gt;=60,"B",IF(B21&gt;=40,"C",IF(B21&lt;40,"Fail"))))</f>
        <v>A</v>
      </c>
    </row>
    <row r="22" spans="1:8" ht="16.5" thickBot="1" x14ac:dyDescent="0.3">
      <c r="A22" s="8" t="s">
        <v>5</v>
      </c>
      <c r="B22" s="8">
        <v>67</v>
      </c>
      <c r="C22" s="8" t="str">
        <f t="shared" ref="C22:C25" si="0">IF(B22&gt;=75,"A",IF(B22&gt;=60,"B",IF(B22&gt;=40,"C",IF(B22&lt;40,"Fail"))))</f>
        <v>B</v>
      </c>
      <c r="H22" t="s">
        <v>28</v>
      </c>
    </row>
    <row r="23" spans="1:8" ht="16.5" thickBot="1" x14ac:dyDescent="0.3">
      <c r="A23" s="8" t="s">
        <v>6</v>
      </c>
      <c r="B23" s="8">
        <v>45</v>
      </c>
      <c r="C23" s="8" t="str">
        <f t="shared" si="0"/>
        <v>C</v>
      </c>
      <c r="H23" t="s">
        <v>29</v>
      </c>
    </row>
    <row r="24" spans="1:8" ht="16.5" thickBot="1" x14ac:dyDescent="0.3">
      <c r="A24" s="8" t="s">
        <v>7</v>
      </c>
      <c r="B24" s="8">
        <v>33</v>
      </c>
      <c r="C24" s="8" t="str">
        <f t="shared" si="0"/>
        <v>Fail</v>
      </c>
      <c r="H24" t="s">
        <v>30</v>
      </c>
    </row>
    <row r="25" spans="1:8" ht="16.5" thickBot="1" x14ac:dyDescent="0.3">
      <c r="A25" s="8" t="s">
        <v>8</v>
      </c>
      <c r="B25" s="8">
        <v>90</v>
      </c>
      <c r="C25" s="8" t="str">
        <f t="shared" si="0"/>
        <v>A</v>
      </c>
      <c r="H25" t="s">
        <v>31</v>
      </c>
    </row>
    <row r="28" spans="1:8" ht="15.75" thickBot="1" x14ac:dyDescent="0.3">
      <c r="A28" s="4" t="s">
        <v>32</v>
      </c>
      <c r="B28" s="4"/>
      <c r="C28" s="4"/>
    </row>
    <row r="29" spans="1:8" ht="48" thickBot="1" x14ac:dyDescent="0.3">
      <c r="A29" s="7" t="s">
        <v>33</v>
      </c>
      <c r="B29" s="7" t="s">
        <v>34</v>
      </c>
      <c r="C29" s="7" t="s">
        <v>35</v>
      </c>
      <c r="D29" s="7" t="s">
        <v>36</v>
      </c>
    </row>
    <row r="30" spans="1:8" ht="16.5" thickBot="1" x14ac:dyDescent="0.3">
      <c r="A30" s="8" t="s">
        <v>18</v>
      </c>
      <c r="B30" s="8">
        <v>25</v>
      </c>
      <c r="C30" s="8">
        <v>2</v>
      </c>
      <c r="D30" s="8" t="str">
        <f>IF(AND(B30&gt;=21,C30&gt;=1),"Eligible","Not Eligible")</f>
        <v>Eligible</v>
      </c>
      <c r="H30" t="s">
        <v>37</v>
      </c>
    </row>
    <row r="31" spans="1:8" ht="33.75" customHeight="1" thickBot="1" x14ac:dyDescent="0.3">
      <c r="A31" s="8" t="s">
        <v>19</v>
      </c>
      <c r="B31" s="8">
        <v>20</v>
      </c>
      <c r="C31" s="8">
        <v>1</v>
      </c>
      <c r="D31" s="8" t="str">
        <f t="shared" ref="D31:D33" si="1">IF(AND(B31&gt;=21,C31&gt;=1),"Eligible","Not Eligible")</f>
        <v>Not Eligible</v>
      </c>
    </row>
    <row r="32" spans="1:8" ht="16.5" thickBot="1" x14ac:dyDescent="0.3">
      <c r="A32" s="8" t="s">
        <v>20</v>
      </c>
      <c r="B32" s="8">
        <v>30</v>
      </c>
      <c r="C32" s="8">
        <v>5</v>
      </c>
      <c r="D32" s="8" t="str">
        <f t="shared" si="1"/>
        <v>Eligible</v>
      </c>
    </row>
    <row r="33" spans="1:8" ht="36" customHeight="1" thickBot="1" x14ac:dyDescent="0.3">
      <c r="A33" s="8" t="s">
        <v>21</v>
      </c>
      <c r="B33" s="8">
        <v>22</v>
      </c>
      <c r="C33" s="8">
        <v>0</v>
      </c>
      <c r="D33" s="8" t="str">
        <f t="shared" si="1"/>
        <v>Not Eligible</v>
      </c>
    </row>
    <row r="36" spans="1:8" ht="15.75" thickBot="1" x14ac:dyDescent="0.3">
      <c r="A36" s="4" t="s">
        <v>38</v>
      </c>
      <c r="B36" s="4"/>
      <c r="C36" s="4"/>
    </row>
    <row r="37" spans="1:8" ht="63.75" thickBot="1" x14ac:dyDescent="0.3">
      <c r="A37" s="7" t="s">
        <v>1</v>
      </c>
      <c r="B37" s="7" t="s">
        <v>39</v>
      </c>
      <c r="C37" s="7" t="s">
        <v>40</v>
      </c>
      <c r="D37" s="7" t="s">
        <v>36</v>
      </c>
    </row>
    <row r="38" spans="1:8" ht="16.5" thickBot="1" x14ac:dyDescent="0.3">
      <c r="A38" s="8" t="s">
        <v>4</v>
      </c>
      <c r="B38" s="8">
        <v>85</v>
      </c>
      <c r="C38" s="8" t="s">
        <v>41</v>
      </c>
      <c r="D38" s="8" t="str">
        <f>IF(AND(B38&gt;=75,C38="Yes"),"Eligible","Not Eligible")</f>
        <v>Eligible</v>
      </c>
      <c r="H38" t="s">
        <v>43</v>
      </c>
    </row>
    <row r="39" spans="1:8" ht="30.75" customHeight="1" thickBot="1" x14ac:dyDescent="0.3">
      <c r="A39" s="8" t="s">
        <v>5</v>
      </c>
      <c r="B39" s="8">
        <v>72</v>
      </c>
      <c r="C39" s="8" t="s">
        <v>41</v>
      </c>
      <c r="D39" s="8" t="str">
        <f t="shared" ref="D39:D41" si="2">IF(AND(B39&gt;=75,C39="Yes"),"Eligible","Not Eligible")</f>
        <v>Not Eligible</v>
      </c>
    </row>
    <row r="40" spans="1:8" ht="34.5" customHeight="1" thickBot="1" x14ac:dyDescent="0.3">
      <c r="A40" s="8" t="s">
        <v>6</v>
      </c>
      <c r="B40" s="8">
        <v>90</v>
      </c>
      <c r="C40" s="8" t="s">
        <v>42</v>
      </c>
      <c r="D40" s="8" t="str">
        <f t="shared" si="2"/>
        <v>Not Eligible</v>
      </c>
    </row>
    <row r="41" spans="1:8" ht="16.5" thickBot="1" x14ac:dyDescent="0.3">
      <c r="A41" s="8" t="s">
        <v>7</v>
      </c>
      <c r="B41" s="8">
        <v>80</v>
      </c>
      <c r="C41" s="8" t="s">
        <v>41</v>
      </c>
      <c r="D41" s="8" t="str">
        <f t="shared" si="2"/>
        <v>Eligible</v>
      </c>
    </row>
    <row r="44" spans="1:8" ht="15.75" thickBot="1" x14ac:dyDescent="0.3">
      <c r="A44" s="4" t="s">
        <v>44</v>
      </c>
      <c r="B44" s="4"/>
      <c r="C44" s="4"/>
    </row>
    <row r="45" spans="1:8" ht="63.75" thickBot="1" x14ac:dyDescent="0.3">
      <c r="A45" s="7" t="s">
        <v>45</v>
      </c>
      <c r="B45" s="7" t="s">
        <v>46</v>
      </c>
      <c r="C45" s="7" t="s">
        <v>47</v>
      </c>
      <c r="D45" s="7" t="s">
        <v>48</v>
      </c>
    </row>
    <row r="46" spans="1:8" ht="33.75" customHeight="1" thickBot="1" x14ac:dyDescent="0.3">
      <c r="A46" s="8" t="s">
        <v>49</v>
      </c>
      <c r="B46" s="8">
        <v>9000</v>
      </c>
      <c r="C46" s="8" t="s">
        <v>42</v>
      </c>
      <c r="D46" s="8" t="str">
        <f>IF(OR(B46&gt;=10000,C46="Yes"),"Discount","No Discount")</f>
        <v>No Discount</v>
      </c>
    </row>
    <row r="47" spans="1:8" ht="48" thickBot="1" x14ac:dyDescent="0.3">
      <c r="A47" s="8" t="s">
        <v>50</v>
      </c>
      <c r="B47" s="8">
        <v>12000</v>
      </c>
      <c r="C47" s="8" t="s">
        <v>42</v>
      </c>
      <c r="D47" s="8" t="str">
        <f t="shared" ref="D47:D49" si="3">IF(OR(B47&gt;=10000,C47="Yes"),"Discount","No Discount")</f>
        <v>Discount</v>
      </c>
      <c r="H47" t="s">
        <v>52</v>
      </c>
    </row>
    <row r="48" spans="1:8" ht="48" thickBot="1" x14ac:dyDescent="0.3">
      <c r="A48" s="8" t="s">
        <v>6</v>
      </c>
      <c r="B48" s="8">
        <v>4000</v>
      </c>
      <c r="C48" s="8" t="s">
        <v>41</v>
      </c>
      <c r="D48" s="8" t="str">
        <f t="shared" si="3"/>
        <v>Discount</v>
      </c>
    </row>
    <row r="49" spans="1:8" ht="48" thickBot="1" x14ac:dyDescent="0.3">
      <c r="A49" s="8" t="s">
        <v>51</v>
      </c>
      <c r="B49" s="8">
        <v>3000</v>
      </c>
      <c r="C49" s="8" t="s">
        <v>42</v>
      </c>
      <c r="D49" s="8" t="str">
        <f t="shared" si="3"/>
        <v>No Discount</v>
      </c>
    </row>
    <row r="52" spans="1:8" ht="15.75" thickBot="1" x14ac:dyDescent="0.3">
      <c r="A52" s="4" t="s">
        <v>53</v>
      </c>
      <c r="B52" s="4"/>
      <c r="C52" s="4"/>
    </row>
    <row r="53" spans="1:8" ht="32.25" thickBot="1" x14ac:dyDescent="0.3">
      <c r="A53" s="7" t="s">
        <v>54</v>
      </c>
      <c r="B53" s="7" t="s">
        <v>16</v>
      </c>
      <c r="C53" s="7" t="s">
        <v>55</v>
      </c>
      <c r="D53" s="7" t="s">
        <v>56</v>
      </c>
    </row>
    <row r="54" spans="1:8" ht="16.5" thickBot="1" x14ac:dyDescent="0.3">
      <c r="A54" s="8" t="s">
        <v>18</v>
      </c>
      <c r="B54" s="8">
        <v>35000</v>
      </c>
      <c r="C54" s="8">
        <v>720</v>
      </c>
      <c r="D54" s="8" t="str">
        <f>IF(OR(B54&gt;=40000,C54&gt;=700),"Approval","Reject")</f>
        <v>Approval</v>
      </c>
    </row>
    <row r="55" spans="1:8" ht="32.25" thickBot="1" x14ac:dyDescent="0.3">
      <c r="A55" s="8" t="s">
        <v>19</v>
      </c>
      <c r="B55" s="8">
        <v>25000</v>
      </c>
      <c r="C55" s="8">
        <v>680</v>
      </c>
      <c r="D55" s="8" t="str">
        <f t="shared" ref="D55:D57" si="4">IF(OR(B55&gt;=40000,C55&gt;=700),"Approval","Reject")</f>
        <v>Reject</v>
      </c>
      <c r="H55" t="s">
        <v>57</v>
      </c>
    </row>
    <row r="56" spans="1:8" ht="32.25" thickBot="1" x14ac:dyDescent="0.3">
      <c r="A56" s="8" t="s">
        <v>20</v>
      </c>
      <c r="B56" s="8">
        <v>50000</v>
      </c>
      <c r="C56" s="8">
        <v>650</v>
      </c>
      <c r="D56" s="8" t="str">
        <f t="shared" si="4"/>
        <v>Approval</v>
      </c>
    </row>
    <row r="57" spans="1:8" ht="32.25" thickBot="1" x14ac:dyDescent="0.3">
      <c r="A57" s="8" t="s">
        <v>21</v>
      </c>
      <c r="B57" s="8">
        <v>20000</v>
      </c>
      <c r="C57" s="8">
        <v>600</v>
      </c>
      <c r="D57" s="8" t="str">
        <f t="shared" si="4"/>
        <v>Reject</v>
      </c>
    </row>
    <row r="60" spans="1:8" ht="15.75" thickBot="1" x14ac:dyDescent="0.3">
      <c r="A60" s="4" t="s">
        <v>58</v>
      </c>
      <c r="B60" s="4"/>
      <c r="C60" s="4"/>
    </row>
    <row r="61" spans="1:8" ht="32.25" thickBot="1" x14ac:dyDescent="0.3">
      <c r="A61" s="7" t="s">
        <v>33</v>
      </c>
      <c r="B61" s="7" t="s">
        <v>59</v>
      </c>
      <c r="C61" s="7" t="s">
        <v>60</v>
      </c>
    </row>
    <row r="62" spans="1:8" ht="16.5" thickBot="1" x14ac:dyDescent="0.3">
      <c r="A62" s="8" t="s">
        <v>4</v>
      </c>
      <c r="B62" s="8" t="b">
        <v>1</v>
      </c>
      <c r="C62" s="8" t="str">
        <f>IF(NOT(B62),"Absent","Present")</f>
        <v>Present</v>
      </c>
      <c r="H62" t="s">
        <v>61</v>
      </c>
    </row>
    <row r="63" spans="1:8" ht="16.5" thickBot="1" x14ac:dyDescent="0.3">
      <c r="A63" s="8" t="s">
        <v>5</v>
      </c>
      <c r="B63" s="8" t="b">
        <v>0</v>
      </c>
      <c r="C63" s="8" t="str">
        <f t="shared" ref="C63:C65" si="5">IF(NOT(B63),"Absent","Present")</f>
        <v>Absent</v>
      </c>
      <c r="H63" t="s">
        <v>62</v>
      </c>
    </row>
    <row r="64" spans="1:8" ht="16.5" thickBot="1" x14ac:dyDescent="0.3">
      <c r="A64" s="8" t="s">
        <v>6</v>
      </c>
      <c r="B64" s="8" t="b">
        <v>1</v>
      </c>
      <c r="C64" s="8" t="str">
        <f t="shared" si="5"/>
        <v>Present</v>
      </c>
    </row>
    <row r="65" spans="1:8" ht="16.5" thickBot="1" x14ac:dyDescent="0.3">
      <c r="A65" s="8" t="s">
        <v>7</v>
      </c>
      <c r="B65" s="8" t="b">
        <v>0</v>
      </c>
      <c r="C65" s="8" t="str">
        <f t="shared" si="5"/>
        <v>Absent</v>
      </c>
    </row>
    <row r="68" spans="1:8" ht="15.75" thickBot="1" x14ac:dyDescent="0.3">
      <c r="A68" s="4" t="s">
        <v>63</v>
      </c>
      <c r="B68" s="4"/>
      <c r="C68" s="4"/>
    </row>
    <row r="69" spans="1:8" ht="32.25" thickBot="1" x14ac:dyDescent="0.3">
      <c r="A69" s="7" t="s">
        <v>64</v>
      </c>
      <c r="B69" s="7" t="s">
        <v>65</v>
      </c>
      <c r="C69" s="7" t="s">
        <v>3</v>
      </c>
    </row>
    <row r="70" spans="1:8" ht="16.5" thickBot="1" x14ac:dyDescent="0.3">
      <c r="A70" s="8">
        <v>10</v>
      </c>
      <c r="B70" s="8">
        <v>2</v>
      </c>
      <c r="C70" s="8">
        <f>IFERROR(A70/B70,"Invalid")</f>
        <v>5</v>
      </c>
      <c r="H70" t="s">
        <v>66</v>
      </c>
    </row>
    <row r="71" spans="1:8" ht="16.5" thickBot="1" x14ac:dyDescent="0.3">
      <c r="A71" s="8">
        <v>15</v>
      </c>
      <c r="B71" s="8">
        <v>0</v>
      </c>
      <c r="C71" s="8" t="str">
        <f t="shared" ref="C71:C73" si="6">IFERROR(A71/B71,"Invalid")</f>
        <v>Invalid</v>
      </c>
      <c r="H71" t="s">
        <v>67</v>
      </c>
    </row>
    <row r="72" spans="1:8" ht="16.5" thickBot="1" x14ac:dyDescent="0.3">
      <c r="A72" s="8">
        <v>20</v>
      </c>
      <c r="B72" s="8">
        <v>5</v>
      </c>
      <c r="C72" s="8">
        <f t="shared" si="6"/>
        <v>4</v>
      </c>
    </row>
    <row r="73" spans="1:8" ht="16.5" thickBot="1" x14ac:dyDescent="0.3">
      <c r="A73" s="8">
        <v>8</v>
      </c>
      <c r="B73" s="8">
        <v>0</v>
      </c>
      <c r="C73" s="8" t="str">
        <f t="shared" si="6"/>
        <v>Invalid</v>
      </c>
    </row>
    <row r="76" spans="1:8" ht="15.75" thickBot="1" x14ac:dyDescent="0.3">
      <c r="A76" s="4" t="s">
        <v>68</v>
      </c>
      <c r="B76" s="4"/>
      <c r="C76" s="4"/>
      <c r="D76" s="4"/>
      <c r="E76" s="4"/>
    </row>
    <row r="77" spans="1:8" ht="59.25" customHeight="1" thickBot="1" x14ac:dyDescent="0.3">
      <c r="A77" s="7" t="s">
        <v>15</v>
      </c>
      <c r="B77" s="7" t="s">
        <v>69</v>
      </c>
      <c r="C77" s="7" t="s">
        <v>39</v>
      </c>
      <c r="D77" s="7" t="s">
        <v>70</v>
      </c>
    </row>
    <row r="78" spans="1:8" ht="45" customHeight="1" thickBot="1" x14ac:dyDescent="0.3">
      <c r="A78" s="8" t="s">
        <v>71</v>
      </c>
      <c r="B78" s="8">
        <v>45</v>
      </c>
      <c r="C78" s="8">
        <v>92</v>
      </c>
      <c r="D78" s="8" t="str">
        <f>IF(AND(B78&gt;=40,C78&gt;=90),"Excellent",IF(C79&gt;=80,"Good","Needs Improvement"))</f>
        <v>Excellent</v>
      </c>
      <c r="H78" t="s">
        <v>75</v>
      </c>
    </row>
    <row r="79" spans="1:8" ht="32.25" thickBot="1" x14ac:dyDescent="0.3">
      <c r="A79" s="8" t="s">
        <v>72</v>
      </c>
      <c r="B79" s="8">
        <v>38</v>
      </c>
      <c r="C79" s="8">
        <v>85</v>
      </c>
      <c r="D79" s="8" t="str">
        <f t="shared" ref="D79:D81" si="7">IF(AND(B79&gt;=40,C79&gt;=90),"Excellent",IF(C80&gt;=80,"Good","Needs Improvement"))</f>
        <v>Good</v>
      </c>
      <c r="H79" t="s">
        <v>76</v>
      </c>
    </row>
    <row r="80" spans="1:8" ht="32.25" thickBot="1" x14ac:dyDescent="0.3">
      <c r="A80" s="8" t="s">
        <v>73</v>
      </c>
      <c r="B80" s="8">
        <v>50</v>
      </c>
      <c r="C80" s="8">
        <v>95</v>
      </c>
      <c r="D80" s="8" t="str">
        <f t="shared" si="7"/>
        <v>Excellent</v>
      </c>
      <c r="H80" t="s">
        <v>77</v>
      </c>
    </row>
    <row r="81" spans="1:4" ht="42.75" customHeight="1" thickBot="1" x14ac:dyDescent="0.3">
      <c r="A81" s="8" t="s">
        <v>74</v>
      </c>
      <c r="B81" s="8">
        <v>30</v>
      </c>
      <c r="C81" s="8">
        <v>70</v>
      </c>
      <c r="D81" s="8" t="str">
        <f t="shared" si="7"/>
        <v>Needs Improvement</v>
      </c>
    </row>
  </sheetData>
  <mergeCells count="8">
    <mergeCell ref="A36:C36"/>
    <mergeCell ref="A44:C44"/>
    <mergeCell ref="A52:C52"/>
    <mergeCell ref="A60:C60"/>
    <mergeCell ref="A68:C68"/>
    <mergeCell ref="A76:E76"/>
    <mergeCell ref="A2:D2"/>
    <mergeCell ref="A28:C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2026-06-24T10:03:00Z</dcterms:created>
  <dcterms:modified xsi:type="dcterms:W3CDTF">2026-06-24T11:17:24Z</dcterms:modified>
</cp:coreProperties>
</file>