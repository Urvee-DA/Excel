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5AF7643-8092-4D61-B764-5B039ABD6EA8}" xr6:coauthVersionLast="47" xr6:coauthVersionMax="47" xr10:uidLastSave="{00000000-0000-0000-0000-000000000000}"/>
  <bookViews>
    <workbookView xWindow="-120" yWindow="-120" windowWidth="20730" windowHeight="11040" firstSheet="2" activeTab="7" xr2:uid="{00000000-000D-0000-FFFF-FFFF00000000}"/>
  </bookViews>
  <sheets>
    <sheet name="Instructions" sheetId="1" r:id="rId1"/>
    <sheet name="Product_Master" sheetId="3" r:id="rId2"/>
    <sheet name="Sheet2" sheetId="7" r:id="rId3"/>
    <sheet name="Sales_Data" sheetId="2" r:id="rId4"/>
    <sheet name="Answer29" sheetId="13" r:id="rId5"/>
    <sheet name="Student_Marks" sheetId="4" r:id="rId6"/>
    <sheet name="Questions" sheetId="5" r:id="rId7"/>
    <sheet name="Answer 1 to 28,30" sheetId="6" r:id="rId8"/>
  </sheets>
  <definedNames>
    <definedName name="_xlnm._FilterDatabase" localSheetId="7" hidden="1">'Answer 1 to 28,30'!$B$200:$C$206</definedName>
    <definedName name="_xlnm._FilterDatabase" localSheetId="3" hidden="1">Sales_Data!$A$1:$K$7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11" i="6" l="1"/>
  <c r="E214" i="6"/>
  <c r="C28" i="6"/>
  <c r="K5" i="2"/>
  <c r="K6" i="2"/>
  <c r="K7" i="2"/>
  <c r="K4" i="2"/>
  <c r="K3" i="2"/>
  <c r="K2" i="2"/>
  <c r="C37" i="6" s="1"/>
  <c r="D15" i="6"/>
  <c r="D16" i="6"/>
  <c r="I19" i="13"/>
  <c r="I18" i="13"/>
  <c r="I17" i="13"/>
  <c r="I16" i="13"/>
  <c r="I15" i="13"/>
  <c r="I14" i="13"/>
  <c r="C222" i="6" a="1"/>
  <c r="C222" i="6" s="1"/>
  <c r="C181" i="6"/>
  <c r="C182" i="6"/>
  <c r="C183" i="6"/>
  <c r="C184" i="6"/>
  <c r="C185" i="6"/>
  <c r="C180" i="6"/>
  <c r="C172" i="6"/>
  <c r="C173" i="6"/>
  <c r="C174" i="6"/>
  <c r="C175" i="6"/>
  <c r="C171" i="6"/>
  <c r="H11" i="4"/>
  <c r="C46" i="6"/>
  <c r="C47" i="6"/>
  <c r="C48" i="6"/>
  <c r="C49" i="6"/>
  <c r="C50" i="6"/>
  <c r="C45" i="6"/>
  <c r="J3" i="2"/>
  <c r="J4" i="2"/>
  <c r="J5" i="2"/>
  <c r="J6" i="2"/>
  <c r="J7" i="2"/>
  <c r="J2" i="2"/>
  <c r="C40" i="6"/>
  <c r="C39" i="6"/>
  <c r="C63" i="6"/>
  <c r="C64" i="6"/>
  <c r="C65" i="6"/>
  <c r="C66" i="6"/>
  <c r="C67" i="6"/>
  <c r="C62" i="6"/>
  <c r="D14" i="6"/>
  <c r="C38" i="6" l="1"/>
  <c r="C32" i="6"/>
  <c r="I3" i="2"/>
  <c r="I4" i="2"/>
  <c r="I5" i="2"/>
  <c r="I6" i="2"/>
  <c r="I7" i="2"/>
  <c r="I2" i="2"/>
  <c r="C14" i="6"/>
  <c r="D5" i="6"/>
  <c r="D6" i="6"/>
  <c r="D7" i="6"/>
  <c r="D8" i="6"/>
  <c r="D9" i="6"/>
  <c r="D4" i="6"/>
  <c r="J32" i="5"/>
  <c r="D56" i="6" l="1"/>
  <c r="D5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<sst xmlns="http://schemas.openxmlformats.org/spreadsheetml/2006/main" count="319" uniqueCount="102">
  <si>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</si>
  <si>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</si>
  <si>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</si>
  <si>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</si>
  <si>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</si>
  <si>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</si>
  <si>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</si>
  <si>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</si>
  <si>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</si>
  <si>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</si>
  <si>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</si>
  <si>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</si>
  <si>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</si>
  <si>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</si>
  <si>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</si>
  <si>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</si>
  <si>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</si>
  <si>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</si>
  <si>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</si>
  <si>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</si>
  <si>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</si>
  <si>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</si>
  <si>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</si>
  <si>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</si>
  <si>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</si>
  <si>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</si>
  <si>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</si>
  <si>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</si>
  <si>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</si>
  <si>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</si>
  <si>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</si>
  <si>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</si>
  <si>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</si>
  <si>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</si>
  <si>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</si>
  <si>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</si>
  <si>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</si>
  <si>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</si>
  <si>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</si>
  <si>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</si>
  <si>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</si>
  <si>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</si>
  <si>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</si>
  <si>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</si>
  <si>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</si>
  <si>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</si>
  <si>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</si>
  <si>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</si>
  <si>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</si>
  <si>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</si>
  <si>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</si>
  <si>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</si>
  <si>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</si>
  <si>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</si>
  <si>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</si>
  <si>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</si>
  <si>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</si>
  <si>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</si>
  <si>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</si>
  <si>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</si>
  <si>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</si>
  <si>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</si>
  <si>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</si>
  <si>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</si>
  <si>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</si>
  <si>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</si>
  <si>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</si>
  <si>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</si>
  <si>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</si>
  <si>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</si>
  <si>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</si>
  <si>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</si>
  <si>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</si>
  <si>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Qty.</t>
  </si>
  <si>
    <t>Unit Price</t>
  </si>
  <si>
    <t>Total Sales</t>
  </si>
  <si>
    <t>Gst %</t>
  </si>
  <si>
    <t>Gst%</t>
  </si>
  <si>
    <t>Final Amount</t>
  </si>
  <si>
    <t>Sales</t>
  </si>
  <si>
    <t>Gst Amount</t>
  </si>
  <si>
    <t>Grand Total</t>
  </si>
  <si>
    <t>Total Number Of Orders</t>
  </si>
  <si>
    <t>Maximum Amount</t>
  </si>
  <si>
    <t>Minimum Amount</t>
  </si>
  <si>
    <t>If</t>
  </si>
  <si>
    <t>Month Nmae</t>
  </si>
  <si>
    <t>Total sales</t>
  </si>
  <si>
    <t>Average</t>
  </si>
  <si>
    <t xml:space="preserve">No Of Student </t>
  </si>
  <si>
    <t>Eligible</t>
  </si>
  <si>
    <t>Not Eligible</t>
  </si>
  <si>
    <t>Row Labels</t>
  </si>
  <si>
    <t>Sum of Sales</t>
  </si>
  <si>
    <t>Median</t>
  </si>
  <si>
    <t>S.D</t>
  </si>
  <si>
    <t>S.D.</t>
  </si>
  <si>
    <t>Concat</t>
  </si>
  <si>
    <t>CountIf</t>
  </si>
  <si>
    <t>Gst AM</t>
  </si>
  <si>
    <t>Total amount</t>
  </si>
  <si>
    <t>Eligible/Not Eli.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</si>
</sst>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F800]dddd\,\ mmmm\ dd\,\ yyyy"/>
    <numFmt numFmtId="165" formatCode="[$-409]d/m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Showing Student Excel Markes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Arjun</c:v>
              </c:pt>
              <c:pt idx="1">
                <c:v>Pooja</c:v>
              </c:pt>
              <c:pt idx="2">
                <c:v>Rahul</c:v>
              </c:pt>
              <c:pt idx="3">
                <c:v>Sneha</c:v>
              </c:pt>
              <c:pt idx="4">
                <c:v>Vikas</c:v>
              </c:pt>
            </c:strLit>
          </c:cat>
          <c:val>
            <c:numLit>
              <c:formatCode>General</c:formatCode>
              <c:ptCount val="5"/>
              <c:pt idx="0">
                <c:v>72</c:v>
              </c:pt>
              <c:pt idx="1">
                <c:v>94</c:v>
              </c:pt>
              <c:pt idx="2">
                <c:v>85</c:v>
              </c:pt>
              <c:pt idx="3">
                <c:v>90</c:v>
              </c:pt>
              <c:pt idx="4">
                <c:v>58</c:v>
              </c:pt>
            </c:numLit>
          </c:val>
          <c:extLst>
            <c:ext xmlns:c16="http://schemas.microsoft.com/office/drawing/2014/chart" uri="{C3380CC4-5D6E-409C-BE32-E72D297353CC}">
              <c16:uniqueId val="{00000000-F186-4C93-ADB5-74946FEBD25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4907055"/>
        <c:axId val="54297967"/>
      </c:barChart>
      <c:catAx>
        <c:axId val="23490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7967"/>
        <c:crosses val="autoZero"/>
        <c:auto val="1"/>
        <c:lblAlgn val="ctr"/>
        <c:lblOffset val="100"/>
        <c:noMultiLvlLbl val="0"/>
      </c:catAx>
      <c:valAx>
        <c:axId val="5429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90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141</xdr:row>
      <xdr:rowOff>0</xdr:rowOff>
    </xdr:from>
    <xdr:to>
      <xdr:col>7</xdr:col>
      <xdr:colOff>266700</xdr:colOff>
      <xdr:row>155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F1C56-CEB0-42A2-BA42-DB49FFD7D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rvee" refreshedDate="46210.660505671294" createdVersion="8" refreshedVersion="8" minRefreshableVersion="3" recordCount="6" xr:uid="{1BD9C41D-1F1C-4A0F-B987-64D00CD78A0B}">
  <cacheSource type="worksheet">
    <worksheetSource ref="A1:K7" sheet="Sales_Data"/>
  </cacheSource>
  <cacheFields count="11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Gst%" numFmtId="0">
      <sharedItems containsSemiMixedTypes="0" containsString="0" containsNumber="1" containsInteger="1" minValue="12" maxValue="18"/>
    </cacheField>
    <cacheField name="Sales" numFmtId="0">
      <sharedItems containsSemiMixedTypes="0" containsString="0" containsNumber="1" containsInteger="1" minValue="45000" maxValue="90000"/>
    </cacheField>
    <cacheField name="Gst Amount" numFmtId="0">
      <sharedItems containsSemiMixedTypes="0" containsString="0" containsNumber="1" containsInteger="1" minValue="6480" maxValue="16200"/>
    </cacheField>
    <cacheField name="Final Amount" numFmtId="0">
      <sharedItems containsSemiMixedTypes="0" containsString="0" containsNumber="1" containsInteger="1" minValue="53100" maxValue="10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n v="18"/>
    <n v="90000"/>
    <n v="16200"/>
    <n v="106200"/>
  </r>
  <r>
    <n v="302"/>
    <x v="1"/>
    <s v="Riya"/>
    <x v="1"/>
    <n v="5"/>
    <n v="15000"/>
    <s v="07-01-2025"/>
    <n v="12"/>
    <n v="75000"/>
    <n v="9000"/>
    <n v="84000"/>
  </r>
  <r>
    <n v="303"/>
    <x v="2"/>
    <s v="Kunal"/>
    <x v="2"/>
    <n v="3"/>
    <n v="18000"/>
    <s v="10-01-2025"/>
    <n v="12"/>
    <n v="54000"/>
    <n v="6480"/>
    <n v="60480"/>
  </r>
  <r>
    <n v="304"/>
    <x v="3"/>
    <s v="Neha"/>
    <x v="0"/>
    <n v="1"/>
    <n v="45000"/>
    <s v="12-01-2025"/>
    <n v="18"/>
    <n v="45000"/>
    <n v="8100"/>
    <n v="53100"/>
  </r>
  <r>
    <n v="305"/>
    <x v="0"/>
    <s v="Amit"/>
    <x v="1"/>
    <n v="4"/>
    <n v="15000"/>
    <s v="15-01-2025"/>
    <n v="12"/>
    <n v="60000"/>
    <n v="7200"/>
    <n v="67200"/>
  </r>
  <r>
    <n v="306"/>
    <x v="1"/>
    <s v="Riya"/>
    <x v="0"/>
    <n v="2"/>
    <n v="45000"/>
    <s v="18-01-2025"/>
    <n v="12"/>
    <n v="90000"/>
    <n v="10800"/>
    <n v="100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DD014-57FF-43AB-BB0B-54BFAC8C50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5EAEE-06BE-456B-BEDA-BF002596975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4:C129" firstHeaderRow="1" firstDataRow="1" firstDataCol="1"/>
  <pivotFields count="11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E4AE7-FD6C-431C-B697-944CD0960F0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6:C120" firstHeaderRow="1" firstDataRow="1" firstDataCol="1"/>
  <pivotFields count="1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7F3CD-6854-4586-8E05-642C8A5512B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4:C138" firstHeaderRow="1" firstDataRow="1" firstDataCol="1"/>
  <pivotFields count="1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2" sqref="C2:C4"/>
    </sheetView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8B45-1CEA-4053-92AF-A78C94BC7136}">
  <dimension ref="A3:B7"/>
  <sheetViews>
    <sheetView topLeftCell="D1" workbookViewId="0">
      <selection activeCell="A3" sqref="A3:B7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6" t="s">
        <v>92</v>
      </c>
      <c r="B3" t="s">
        <v>93</v>
      </c>
    </row>
    <row r="4" spans="1:2" x14ac:dyDescent="0.25">
      <c r="A4" s="7" t="s">
        <v>13</v>
      </c>
      <c r="B4">
        <v>225000</v>
      </c>
    </row>
    <row r="5" spans="1:2" x14ac:dyDescent="0.25">
      <c r="A5" s="7" t="s">
        <v>17</v>
      </c>
      <c r="B5">
        <v>135000</v>
      </c>
    </row>
    <row r="6" spans="1:2" x14ac:dyDescent="0.25">
      <c r="A6" s="7" t="s">
        <v>21</v>
      </c>
      <c r="B6">
        <v>54000</v>
      </c>
    </row>
    <row r="7" spans="1:2" x14ac:dyDescent="0.25">
      <c r="A7" s="7" t="s">
        <v>81</v>
      </c>
      <c r="B7">
        <v>414000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selection activeCell="L2" sqref="L2:L7"/>
    </sheetView>
  </sheetViews>
  <sheetFormatPr defaultRowHeight="15" x14ac:dyDescent="0.25"/>
  <cols>
    <col min="5" max="5" width="8.7109375" bestFit="1" customWidth="1"/>
    <col min="6" max="6" width="10.14062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77</v>
      </c>
      <c r="I1" t="s">
        <v>79</v>
      </c>
      <c r="J1" t="s">
        <v>80</v>
      </c>
      <c r="K1" t="s">
        <v>99</v>
      </c>
      <c r="L1" t="s">
        <v>100</v>
      </c>
    </row>
    <row r="2" spans="1:12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H2">
        <v>0.18</v>
      </c>
      <c r="I2">
        <f>F2*E2</f>
        <v>90000</v>
      </c>
      <c r="J2">
        <f>F2*H2</f>
        <v>8100</v>
      </c>
      <c r="K2">
        <f>J2*E2</f>
        <v>16200</v>
      </c>
      <c r="L2">
        <v>106200</v>
      </c>
    </row>
    <row r="3" spans="1:12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H3">
        <v>0.12</v>
      </c>
      <c r="I3">
        <f t="shared" ref="I3:I7" si="0">F3*E3</f>
        <v>75000</v>
      </c>
      <c r="J3">
        <f t="shared" ref="J3:J7" si="1">F3*H3</f>
        <v>1800</v>
      </c>
      <c r="K3">
        <f>J3*E3</f>
        <v>9000</v>
      </c>
      <c r="L3">
        <v>84000</v>
      </c>
    </row>
    <row r="4" spans="1:12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H4">
        <v>0.12</v>
      </c>
      <c r="I4">
        <f t="shared" si="0"/>
        <v>54000</v>
      </c>
      <c r="J4">
        <f t="shared" si="1"/>
        <v>2160</v>
      </c>
      <c r="K4">
        <f>J4*E4</f>
        <v>6480</v>
      </c>
      <c r="L4">
        <v>60480</v>
      </c>
    </row>
    <row r="5" spans="1:12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H5">
        <v>0.18</v>
      </c>
      <c r="I5">
        <f t="shared" si="0"/>
        <v>45000</v>
      </c>
      <c r="J5">
        <f t="shared" si="1"/>
        <v>8100</v>
      </c>
      <c r="K5">
        <f t="shared" ref="K5:K7" si="2">J5*E5</f>
        <v>8100</v>
      </c>
      <c r="L5">
        <v>53100</v>
      </c>
    </row>
    <row r="6" spans="1:12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H6">
        <v>0.12</v>
      </c>
      <c r="I6">
        <f t="shared" si="0"/>
        <v>60000</v>
      </c>
      <c r="J6">
        <f t="shared" si="1"/>
        <v>1800</v>
      </c>
      <c r="K6">
        <f t="shared" si="2"/>
        <v>7200</v>
      </c>
      <c r="L6">
        <v>67200</v>
      </c>
    </row>
    <row r="7" spans="1:12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H7">
        <v>0.18</v>
      </c>
      <c r="I7">
        <f t="shared" si="0"/>
        <v>90000</v>
      </c>
      <c r="J7">
        <f t="shared" si="1"/>
        <v>8100</v>
      </c>
      <c r="K7">
        <f t="shared" si="2"/>
        <v>16200</v>
      </c>
      <c r="L7">
        <v>106200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C48D-723F-4AC5-B5E1-B8EA02A7E321}">
  <dimension ref="A11:I19"/>
  <sheetViews>
    <sheetView workbookViewId="0">
      <pane ySplit="1" topLeftCell="A2" activePane="bottomLeft" state="frozen"/>
      <selection pane="bottomLeft" activeCell="A13" sqref="A13:I19"/>
    </sheetView>
  </sheetViews>
  <sheetFormatPr defaultRowHeight="15" x14ac:dyDescent="0.25"/>
  <cols>
    <col min="1" max="1" width="13.140625" bestFit="1" customWidth="1"/>
    <col min="2" max="4" width="12.140625" bestFit="1" customWidth="1"/>
  </cols>
  <sheetData>
    <row r="11" spans="1:9" x14ac:dyDescent="0.25">
      <c r="A11" t="s">
        <v>70</v>
      </c>
    </row>
    <row r="12" spans="1:9" ht="15.75" thickBot="1" x14ac:dyDescent="0.3"/>
    <row r="13" spans="1:9" ht="15.75" thickBot="1" x14ac:dyDescent="0.3">
      <c r="A13" s="2" t="s">
        <v>4</v>
      </c>
      <c r="B13" s="2" t="s">
        <v>5</v>
      </c>
      <c r="C13" s="2" t="s">
        <v>6</v>
      </c>
      <c r="D13" s="2" t="s">
        <v>7</v>
      </c>
      <c r="E13" s="2" t="s">
        <v>8</v>
      </c>
      <c r="F13" s="2" t="s">
        <v>9</v>
      </c>
      <c r="G13" s="2" t="s">
        <v>10</v>
      </c>
      <c r="H13" s="2" t="s">
        <v>77</v>
      </c>
      <c r="I13" s="2" t="s">
        <v>79</v>
      </c>
    </row>
    <row r="14" spans="1:9" ht="15.75" thickBot="1" x14ac:dyDescent="0.3">
      <c r="A14" s="2">
        <v>301</v>
      </c>
      <c r="B14" s="2" t="s">
        <v>11</v>
      </c>
      <c r="C14" s="2" t="s">
        <v>12</v>
      </c>
      <c r="D14" s="2" t="s">
        <v>13</v>
      </c>
      <c r="E14" s="2">
        <v>2</v>
      </c>
      <c r="F14" s="2">
        <v>45000</v>
      </c>
      <c r="G14" s="2" t="s">
        <v>14</v>
      </c>
      <c r="H14" s="2">
        <v>0.18</v>
      </c>
      <c r="I14" s="2">
        <f t="shared" ref="I14:I19" si="0">F14*E14</f>
        <v>90000</v>
      </c>
    </row>
    <row r="15" spans="1:9" ht="15.75" thickBot="1" x14ac:dyDescent="0.3">
      <c r="A15" s="2">
        <v>302</v>
      </c>
      <c r="B15" s="2" t="s">
        <v>15</v>
      </c>
      <c r="C15" s="2" t="s">
        <v>16</v>
      </c>
      <c r="D15" s="2" t="s">
        <v>17</v>
      </c>
      <c r="E15" s="2">
        <v>5</v>
      </c>
      <c r="F15" s="2">
        <v>15000</v>
      </c>
      <c r="G15" s="2" t="s">
        <v>18</v>
      </c>
      <c r="H15" s="2">
        <v>0.12</v>
      </c>
      <c r="I15" s="2">
        <f t="shared" si="0"/>
        <v>75000</v>
      </c>
    </row>
    <row r="16" spans="1:9" ht="15.75" thickBot="1" x14ac:dyDescent="0.3">
      <c r="A16" s="2">
        <v>303</v>
      </c>
      <c r="B16" s="2" t="s">
        <v>19</v>
      </c>
      <c r="C16" s="2" t="s">
        <v>20</v>
      </c>
      <c r="D16" s="2" t="s">
        <v>21</v>
      </c>
      <c r="E16" s="2">
        <v>3</v>
      </c>
      <c r="F16" s="2">
        <v>18000</v>
      </c>
      <c r="G16" s="2" t="s">
        <v>22</v>
      </c>
      <c r="H16" s="2">
        <v>0.12</v>
      </c>
      <c r="I16" s="2">
        <f t="shared" si="0"/>
        <v>54000</v>
      </c>
    </row>
    <row r="17" spans="1:9" ht="15.75" thickBot="1" x14ac:dyDescent="0.3">
      <c r="A17" s="2">
        <v>304</v>
      </c>
      <c r="B17" s="2" t="s">
        <v>23</v>
      </c>
      <c r="C17" s="2" t="s">
        <v>24</v>
      </c>
      <c r="D17" s="2" t="s">
        <v>13</v>
      </c>
      <c r="E17" s="2">
        <v>1</v>
      </c>
      <c r="F17" s="2">
        <v>45000</v>
      </c>
      <c r="G17" s="2" t="s">
        <v>25</v>
      </c>
      <c r="H17" s="2">
        <v>0.18</v>
      </c>
      <c r="I17" s="2">
        <f t="shared" si="0"/>
        <v>45000</v>
      </c>
    </row>
    <row r="18" spans="1:9" ht="15.75" thickBot="1" x14ac:dyDescent="0.3">
      <c r="A18" s="2">
        <v>305</v>
      </c>
      <c r="B18" s="2" t="s">
        <v>11</v>
      </c>
      <c r="C18" s="2" t="s">
        <v>12</v>
      </c>
      <c r="D18" s="2" t="s">
        <v>17</v>
      </c>
      <c r="E18" s="2">
        <v>4</v>
      </c>
      <c r="F18" s="2">
        <v>15000</v>
      </c>
      <c r="G18" s="2" t="s">
        <v>26</v>
      </c>
      <c r="H18" s="2">
        <v>0.12</v>
      </c>
      <c r="I18" s="2">
        <f t="shared" si="0"/>
        <v>60000</v>
      </c>
    </row>
    <row r="19" spans="1:9" ht="15.75" thickBot="1" x14ac:dyDescent="0.3">
      <c r="A19" s="2">
        <v>306</v>
      </c>
      <c r="B19" s="2" t="s">
        <v>15</v>
      </c>
      <c r="C19" s="2" t="s">
        <v>16</v>
      </c>
      <c r="D19" s="2" t="s">
        <v>13</v>
      </c>
      <c r="E19" s="2">
        <v>2</v>
      </c>
      <c r="F19" s="2">
        <v>45000</v>
      </c>
      <c r="G19" s="2" t="s">
        <v>27</v>
      </c>
      <c r="H19" s="2">
        <v>0.12</v>
      </c>
      <c r="I19" s="2">
        <f t="shared" si="0"/>
        <v>90000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selection sqref="A1:F6"/>
    </sheetView>
  </sheetViews>
  <sheetFormatPr defaultRowHeight="15" x14ac:dyDescent="0.25"/>
  <sheetData>
    <row r="1" spans="1:11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H1" t="s">
        <v>88</v>
      </c>
    </row>
    <row r="2" spans="1:11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  <c r="H2" s="5">
        <v>81.666666666666671</v>
      </c>
      <c r="I2" t="s">
        <v>90</v>
      </c>
      <c r="J2" t="s">
        <v>94</v>
      </c>
      <c r="K2">
        <v>82</v>
      </c>
    </row>
    <row r="3" spans="1:11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  <c r="H3" s="5">
        <v>89.666666666666671</v>
      </c>
      <c r="I3" t="s">
        <v>90</v>
      </c>
    </row>
    <row r="4" spans="1:11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  <c r="H4" s="5">
        <v>69</v>
      </c>
      <c r="I4" t="s">
        <v>90</v>
      </c>
    </row>
    <row r="5" spans="1:11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  <c r="H5" s="5">
        <v>91.666666666666671</v>
      </c>
      <c r="I5" t="s">
        <v>90</v>
      </c>
    </row>
    <row r="6" spans="1:11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  <c r="H6" s="5">
        <v>57.666666666666664</v>
      </c>
      <c r="I6" t="s">
        <v>91</v>
      </c>
    </row>
    <row r="8" spans="1:11" x14ac:dyDescent="0.25">
      <c r="G8" t="s">
        <v>95</v>
      </c>
      <c r="H8">
        <v>14.737706741552426</v>
      </c>
    </row>
    <row r="9" spans="1:11" x14ac:dyDescent="0.25">
      <c r="F9">
        <v>3</v>
      </c>
    </row>
    <row r="11" spans="1:11" x14ac:dyDescent="0.25">
      <c r="H11" t="str">
        <f>_xlfn.CONCAT(A2,B2)</f>
        <v>1Rahul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17" workbookViewId="0">
      <selection activeCell="A30" sqref="A30:D30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10C3-4EED-4057-8CD6-6974433C3E8E}">
  <sheetPr filterMode="1"/>
  <dimension ref="A1:F245"/>
  <sheetViews>
    <sheetView tabSelected="1" topLeftCell="A222" workbookViewId="0">
      <selection activeCell="A240" sqref="A240:F245"/>
    </sheetView>
  </sheetViews>
  <sheetFormatPr defaultRowHeight="15" x14ac:dyDescent="0.25"/>
  <cols>
    <col min="2" max="2" width="13" customWidth="1"/>
    <col min="3" max="3" width="13.42578125" customWidth="1"/>
    <col min="4" max="4" width="9.85546875" customWidth="1"/>
    <col min="7" max="7" width="4.85546875" customWidth="1"/>
  </cols>
  <sheetData>
    <row r="1" spans="1:4" x14ac:dyDescent="0.25">
      <c r="A1" t="s">
        <v>42</v>
      </c>
    </row>
    <row r="2" spans="1:4" ht="15.75" thickBot="1" x14ac:dyDescent="0.3"/>
    <row r="3" spans="1:4" ht="15.75" thickBot="1" x14ac:dyDescent="0.3">
      <c r="B3" s="2" t="s">
        <v>73</v>
      </c>
      <c r="C3" s="2" t="s">
        <v>74</v>
      </c>
      <c r="D3" s="2" t="s">
        <v>75</v>
      </c>
    </row>
    <row r="4" spans="1:4" ht="15.75" thickBot="1" x14ac:dyDescent="0.3">
      <c r="B4" s="2">
        <v>2</v>
      </c>
      <c r="C4" s="2">
        <v>45000</v>
      </c>
      <c r="D4" s="2">
        <f>C4*B4</f>
        <v>90000</v>
      </c>
    </row>
    <row r="5" spans="1:4" ht="15.75" thickBot="1" x14ac:dyDescent="0.3">
      <c r="B5" s="2">
        <v>5</v>
      </c>
      <c r="C5" s="2">
        <v>15000</v>
      </c>
      <c r="D5" s="2">
        <f t="shared" ref="D5:D9" si="0">C5*B5</f>
        <v>75000</v>
      </c>
    </row>
    <row r="6" spans="1:4" ht="15.75" thickBot="1" x14ac:dyDescent="0.3">
      <c r="B6" s="2">
        <v>3</v>
      </c>
      <c r="C6" s="2">
        <v>18000</v>
      </c>
      <c r="D6" s="2">
        <f t="shared" si="0"/>
        <v>54000</v>
      </c>
    </row>
    <row r="7" spans="1:4" ht="15.75" thickBot="1" x14ac:dyDescent="0.3">
      <c r="B7" s="2">
        <v>1</v>
      </c>
      <c r="C7" s="2">
        <v>45000</v>
      </c>
      <c r="D7" s="2">
        <f t="shared" si="0"/>
        <v>45000</v>
      </c>
    </row>
    <row r="8" spans="1:4" ht="15.75" thickBot="1" x14ac:dyDescent="0.3">
      <c r="B8" s="2">
        <v>4</v>
      </c>
      <c r="C8" s="2">
        <v>15000</v>
      </c>
      <c r="D8" s="2">
        <f t="shared" si="0"/>
        <v>60000</v>
      </c>
    </row>
    <row r="9" spans="1:4" ht="15.75" thickBot="1" x14ac:dyDescent="0.3">
      <c r="B9" s="2">
        <v>2</v>
      </c>
      <c r="C9" s="2">
        <v>45000</v>
      </c>
      <c r="D9" s="2">
        <f t="shared" si="0"/>
        <v>90000</v>
      </c>
    </row>
    <row r="11" spans="1:4" x14ac:dyDescent="0.25">
      <c r="A11" t="s">
        <v>43</v>
      </c>
    </row>
    <row r="12" spans="1:4" ht="15.75" thickBot="1" x14ac:dyDescent="0.3"/>
    <row r="13" spans="1:4" ht="15.75" thickBot="1" x14ac:dyDescent="0.3">
      <c r="B13" s="2" t="s">
        <v>7</v>
      </c>
      <c r="C13" s="2" t="s">
        <v>76</v>
      </c>
      <c r="D13" s="2" t="s">
        <v>80</v>
      </c>
    </row>
    <row r="14" spans="1:4" ht="15.75" thickBot="1" x14ac:dyDescent="0.3">
      <c r="B14" s="2" t="s">
        <v>13</v>
      </c>
      <c r="C14" s="2">
        <f>VLOOKUP(B14,Product_Master!A1:C4,3,0)</f>
        <v>18</v>
      </c>
      <c r="D14" s="2">
        <f>VLOOKUP(B14,Sales_Data!D1:K7,7,0)</f>
        <v>8100</v>
      </c>
    </row>
    <row r="15" spans="1:4" ht="15.75" thickBot="1" x14ac:dyDescent="0.3">
      <c r="B15" s="2" t="s">
        <v>17</v>
      </c>
      <c r="C15" s="2">
        <v>12</v>
      </c>
      <c r="D15" s="2">
        <f>VLOOKUP(B15,Sales_Data!D2:K8,7,0)</f>
        <v>1800</v>
      </c>
    </row>
    <row r="16" spans="1:4" ht="15.75" thickBot="1" x14ac:dyDescent="0.3">
      <c r="B16" s="2" t="s">
        <v>21</v>
      </c>
      <c r="C16" s="2">
        <v>12</v>
      </c>
      <c r="D16" s="2">
        <f>VLOOKUP(B16,Sales_Data!D3:K9,7,0)</f>
        <v>2160</v>
      </c>
    </row>
    <row r="17" spans="1:3" ht="15.75" thickBot="1" x14ac:dyDescent="0.3">
      <c r="A17" t="s">
        <v>44</v>
      </c>
    </row>
    <row r="18" spans="1:3" ht="15.75" thickBot="1" x14ac:dyDescent="0.3">
      <c r="B18" s="3" t="s">
        <v>7</v>
      </c>
      <c r="C18" s="3" t="s">
        <v>78</v>
      </c>
    </row>
    <row r="19" spans="1:3" ht="15.75" thickBot="1" x14ac:dyDescent="0.3">
      <c r="B19" s="3" t="s">
        <v>13</v>
      </c>
      <c r="C19" s="3">
        <v>106200</v>
      </c>
    </row>
    <row r="20" spans="1:3" ht="15.75" thickBot="1" x14ac:dyDescent="0.3">
      <c r="B20" s="3" t="s">
        <v>17</v>
      </c>
      <c r="C20" s="3">
        <v>84000</v>
      </c>
    </row>
    <row r="21" spans="1:3" ht="15.75" thickBot="1" x14ac:dyDescent="0.3">
      <c r="B21" s="3" t="s">
        <v>21</v>
      </c>
      <c r="C21" s="3">
        <v>60480</v>
      </c>
    </row>
    <row r="22" spans="1:3" ht="15.75" thickBot="1" x14ac:dyDescent="0.3">
      <c r="B22" s="3" t="s">
        <v>13</v>
      </c>
      <c r="C22" s="3">
        <v>53100</v>
      </c>
    </row>
    <row r="23" spans="1:3" ht="15.75" thickBot="1" x14ac:dyDescent="0.3">
      <c r="B23" s="3" t="s">
        <v>17</v>
      </c>
      <c r="C23" s="3">
        <v>67200</v>
      </c>
    </row>
    <row r="24" spans="1:3" ht="15.75" thickBot="1" x14ac:dyDescent="0.3">
      <c r="B24" s="3" t="s">
        <v>13</v>
      </c>
      <c r="C24" s="3">
        <v>106200</v>
      </c>
    </row>
    <row r="26" spans="1:3" x14ac:dyDescent="0.25">
      <c r="A26" t="s">
        <v>45</v>
      </c>
    </row>
    <row r="27" spans="1:3" ht="15.75" thickBot="1" x14ac:dyDescent="0.3"/>
    <row r="28" spans="1:3" ht="15.75" thickBot="1" x14ac:dyDescent="0.3">
      <c r="B28" s="3" t="s">
        <v>81</v>
      </c>
      <c r="C28" s="3">
        <f>SUM(Sales_Data!L1:L7)</f>
        <v>477180</v>
      </c>
    </row>
    <row r="30" spans="1:3" x14ac:dyDescent="0.25">
      <c r="A30" t="s">
        <v>46</v>
      </c>
    </row>
    <row r="31" spans="1:3" ht="15.75" thickBot="1" x14ac:dyDescent="0.3"/>
    <row r="32" spans="1:3" ht="45.75" thickBot="1" x14ac:dyDescent="0.3">
      <c r="B32" s="4" t="s">
        <v>82</v>
      </c>
      <c r="C32" s="2">
        <f>COUNTA(Sales_Data!A2:A7)</f>
        <v>6</v>
      </c>
    </row>
    <row r="34" spans="1:3" x14ac:dyDescent="0.25">
      <c r="A34" t="s">
        <v>47</v>
      </c>
    </row>
    <row r="35" spans="1:3" ht="15.75" thickBot="1" x14ac:dyDescent="0.3"/>
    <row r="36" spans="1:3" ht="15.75" thickBot="1" x14ac:dyDescent="0.3">
      <c r="B36" s="3" t="s">
        <v>5</v>
      </c>
      <c r="C36" s="3" t="s">
        <v>75</v>
      </c>
    </row>
    <row r="37" spans="1:3" ht="15.75" thickBot="1" x14ac:dyDescent="0.3">
      <c r="B37" s="3" t="s">
        <v>11</v>
      </c>
      <c r="C37" s="3">
        <f>SUMIF(Sales_Data!B2:B7,"North",Sales_Data!K2:K7)</f>
        <v>23400</v>
      </c>
    </row>
    <row r="38" spans="1:3" ht="15.75" thickBot="1" x14ac:dyDescent="0.3">
      <c r="B38" s="3" t="s">
        <v>15</v>
      </c>
      <c r="C38" s="3">
        <f>SUMIF(Sales_Data!B2:B7,"South",Sales_Data!K2:K8)</f>
        <v>25200</v>
      </c>
    </row>
    <row r="39" spans="1:3" ht="15.75" thickBot="1" x14ac:dyDescent="0.3">
      <c r="B39" s="3" t="s">
        <v>19</v>
      </c>
      <c r="C39" s="3">
        <f>SUMIF(Sales_Data!B2:B7,"East",Sales_Data!K2:K7)</f>
        <v>6480</v>
      </c>
    </row>
    <row r="40" spans="1:3" ht="15.75" thickBot="1" x14ac:dyDescent="0.3">
      <c r="B40" s="3" t="s">
        <v>23</v>
      </c>
      <c r="C40" s="3">
        <f>SUMIF(Sales_Data!B2:B7,"west",Sales_Data!K2:K7)</f>
        <v>8100</v>
      </c>
    </row>
    <row r="42" spans="1:3" x14ac:dyDescent="0.25">
      <c r="A42" t="s">
        <v>48</v>
      </c>
    </row>
    <row r="43" spans="1:3" ht="15.75" thickBot="1" x14ac:dyDescent="0.3"/>
    <row r="44" spans="1:3" ht="15.75" thickBot="1" x14ac:dyDescent="0.3">
      <c r="B44" s="2" t="s">
        <v>8</v>
      </c>
      <c r="C44" s="2" t="s">
        <v>85</v>
      </c>
    </row>
    <row r="45" spans="1:3" ht="15.75" thickBot="1" x14ac:dyDescent="0.3">
      <c r="B45" s="2">
        <v>2</v>
      </c>
      <c r="C45" s="2" t="str">
        <f>IF(B45&gt;3,"high","Low")</f>
        <v>Low</v>
      </c>
    </row>
    <row r="46" spans="1:3" ht="15.75" thickBot="1" x14ac:dyDescent="0.3">
      <c r="B46" s="2">
        <v>5</v>
      </c>
      <c r="C46" s="2" t="str">
        <f t="shared" ref="C46:C50" si="1">IF(B46&gt;3,"high","Low")</f>
        <v>high</v>
      </c>
    </row>
    <row r="47" spans="1:3" ht="15.75" thickBot="1" x14ac:dyDescent="0.3">
      <c r="B47" s="2">
        <v>3</v>
      </c>
      <c r="C47" s="2" t="str">
        <f t="shared" si="1"/>
        <v>Low</v>
      </c>
    </row>
    <row r="48" spans="1:3" ht="15.75" thickBot="1" x14ac:dyDescent="0.3">
      <c r="B48" s="2">
        <v>1</v>
      </c>
      <c r="C48" s="2" t="str">
        <f t="shared" si="1"/>
        <v>Low</v>
      </c>
    </row>
    <row r="49" spans="1:4" ht="15.75" thickBot="1" x14ac:dyDescent="0.3">
      <c r="B49" s="2">
        <v>4</v>
      </c>
      <c r="C49" s="2" t="str">
        <f t="shared" si="1"/>
        <v>high</v>
      </c>
    </row>
    <row r="50" spans="1:4" ht="15.75" thickBot="1" x14ac:dyDescent="0.3">
      <c r="B50" s="2">
        <v>2</v>
      </c>
      <c r="C50" s="2" t="str">
        <f t="shared" si="1"/>
        <v>Low</v>
      </c>
    </row>
    <row r="52" spans="1:4" x14ac:dyDescent="0.25">
      <c r="A52" t="s">
        <v>49</v>
      </c>
    </row>
    <row r="54" spans="1:4" ht="15.75" thickBot="1" x14ac:dyDescent="0.3"/>
    <row r="55" spans="1:4" ht="15.75" thickBot="1" x14ac:dyDescent="0.3">
      <c r="B55" s="8" t="s">
        <v>83</v>
      </c>
      <c r="C55" s="8"/>
      <c r="D55" s="8">
        <f>MAX(C19:C24)</f>
        <v>106200</v>
      </c>
    </row>
    <row r="56" spans="1:4" ht="15.75" thickBot="1" x14ac:dyDescent="0.3">
      <c r="B56" s="8" t="s">
        <v>84</v>
      </c>
      <c r="C56" s="8"/>
      <c r="D56" s="8">
        <f>MIN(C19:C24)</f>
        <v>53100</v>
      </c>
    </row>
    <row r="58" spans="1:4" x14ac:dyDescent="0.25">
      <c r="A58" t="s">
        <v>50</v>
      </c>
    </row>
    <row r="60" spans="1:4" ht="15.75" thickBot="1" x14ac:dyDescent="0.3"/>
    <row r="61" spans="1:4" ht="15.75" thickBot="1" x14ac:dyDescent="0.3">
      <c r="B61" s="2" t="s">
        <v>10</v>
      </c>
      <c r="C61" s="2" t="s">
        <v>86</v>
      </c>
    </row>
    <row r="62" spans="1:4" ht="15.75" thickBot="1" x14ac:dyDescent="0.3">
      <c r="B62" s="9" t="s">
        <v>14</v>
      </c>
      <c r="C62" s="10" t="str">
        <f>TEXT(B62,"MMM")</f>
        <v>Jan</v>
      </c>
    </row>
    <row r="63" spans="1:4" ht="15.75" thickBot="1" x14ac:dyDescent="0.3">
      <c r="B63" s="9" t="s">
        <v>18</v>
      </c>
      <c r="C63" s="10" t="str">
        <f t="shared" ref="C63:C67" si="2">TEXT(B63,"MMM")</f>
        <v>Jan</v>
      </c>
    </row>
    <row r="64" spans="1:4" ht="15.75" thickBot="1" x14ac:dyDescent="0.3">
      <c r="B64" s="9" t="s">
        <v>22</v>
      </c>
      <c r="C64" s="10" t="str">
        <f t="shared" si="2"/>
        <v>Jan</v>
      </c>
    </row>
    <row r="65" spans="1:3" ht="15.75" thickBot="1" x14ac:dyDescent="0.3">
      <c r="B65" s="9" t="s">
        <v>25</v>
      </c>
      <c r="C65" s="10" t="str">
        <f t="shared" si="2"/>
        <v>Jan</v>
      </c>
    </row>
    <row r="66" spans="1:3" ht="15.75" thickBot="1" x14ac:dyDescent="0.3">
      <c r="B66" s="9" t="s">
        <v>26</v>
      </c>
      <c r="C66" s="10" t="str">
        <f t="shared" si="2"/>
        <v>Jan</v>
      </c>
    </row>
    <row r="67" spans="1:3" ht="15.75" thickBot="1" x14ac:dyDescent="0.3">
      <c r="B67" s="9" t="s">
        <v>27</v>
      </c>
      <c r="C67" s="10" t="str">
        <f t="shared" si="2"/>
        <v>Jan</v>
      </c>
    </row>
    <row r="70" spans="1:3" x14ac:dyDescent="0.25">
      <c r="A70" t="s">
        <v>51</v>
      </c>
    </row>
    <row r="71" spans="1:3" ht="15.75" thickBot="1" x14ac:dyDescent="0.3"/>
    <row r="72" spans="1:3" ht="15.75" thickBot="1" x14ac:dyDescent="0.3">
      <c r="B72" s="2" t="s">
        <v>10</v>
      </c>
      <c r="C72" s="2" t="s">
        <v>87</v>
      </c>
    </row>
    <row r="73" spans="1:3" ht="15.75" thickBot="1" x14ac:dyDescent="0.3">
      <c r="B73" s="9" t="s">
        <v>14</v>
      </c>
      <c r="C73" s="2">
        <v>106200</v>
      </c>
    </row>
    <row r="74" spans="1:3" ht="15.75" thickBot="1" x14ac:dyDescent="0.3">
      <c r="B74" s="9" t="s">
        <v>27</v>
      </c>
      <c r="C74" s="2">
        <v>100800</v>
      </c>
    </row>
    <row r="75" spans="1:3" ht="15.75" thickBot="1" x14ac:dyDescent="0.3">
      <c r="B75" s="9" t="s">
        <v>18</v>
      </c>
      <c r="C75" s="2">
        <v>84000</v>
      </c>
    </row>
    <row r="76" spans="1:3" ht="15.75" thickBot="1" x14ac:dyDescent="0.3">
      <c r="B76" s="9" t="s">
        <v>26</v>
      </c>
      <c r="C76" s="2">
        <v>67200</v>
      </c>
    </row>
    <row r="77" spans="1:3" ht="15.75" thickBot="1" x14ac:dyDescent="0.3">
      <c r="B77" s="9" t="s">
        <v>22</v>
      </c>
      <c r="C77" s="2">
        <v>60480</v>
      </c>
    </row>
    <row r="78" spans="1:3" ht="15.75" thickBot="1" x14ac:dyDescent="0.3">
      <c r="B78" s="9" t="s">
        <v>25</v>
      </c>
      <c r="C78" s="2">
        <v>53100</v>
      </c>
    </row>
    <row r="80" spans="1:3" x14ac:dyDescent="0.25">
      <c r="A80" t="s">
        <v>53</v>
      </c>
    </row>
    <row r="81" spans="1:2" ht="15.75" thickBot="1" x14ac:dyDescent="0.3"/>
    <row r="82" spans="1:2" ht="15.75" thickBot="1" x14ac:dyDescent="0.3">
      <c r="A82" s="2" t="s">
        <v>32</v>
      </c>
      <c r="B82" s="2" t="s">
        <v>88</v>
      </c>
    </row>
    <row r="83" spans="1:2" ht="15.75" thickBot="1" x14ac:dyDescent="0.3">
      <c r="A83" s="2" t="s">
        <v>37</v>
      </c>
      <c r="B83" s="11">
        <v>81.666666666666671</v>
      </c>
    </row>
    <row r="84" spans="1:2" ht="15.75" thickBot="1" x14ac:dyDescent="0.3">
      <c r="A84" s="2" t="s">
        <v>38</v>
      </c>
      <c r="B84" s="11">
        <v>89.666666666666671</v>
      </c>
    </row>
    <row r="85" spans="1:2" ht="15.75" thickBot="1" x14ac:dyDescent="0.3">
      <c r="A85" s="2" t="s">
        <v>39</v>
      </c>
      <c r="B85" s="11">
        <v>69</v>
      </c>
    </row>
    <row r="86" spans="1:2" ht="15.75" thickBot="1" x14ac:dyDescent="0.3">
      <c r="A86" s="2" t="s">
        <v>40</v>
      </c>
      <c r="B86" s="11">
        <v>91.666666666666671</v>
      </c>
    </row>
    <row r="87" spans="1:2" ht="15.75" thickBot="1" x14ac:dyDescent="0.3">
      <c r="A87" s="2" t="s">
        <v>41</v>
      </c>
      <c r="B87" s="11">
        <v>57.666666666666664</v>
      </c>
    </row>
    <row r="91" spans="1:2" x14ac:dyDescent="0.25">
      <c r="A91" t="s">
        <v>54</v>
      </c>
    </row>
    <row r="92" spans="1:2" ht="15.75" thickBot="1" x14ac:dyDescent="0.3"/>
    <row r="93" spans="1:2" ht="15.75" thickBot="1" x14ac:dyDescent="0.3">
      <c r="A93" s="2" t="s">
        <v>32</v>
      </c>
      <c r="B93" s="2" t="s">
        <v>88</v>
      </c>
    </row>
    <row r="94" spans="1:2" ht="15.75" thickBot="1" x14ac:dyDescent="0.3">
      <c r="A94" s="2" t="s">
        <v>37</v>
      </c>
      <c r="B94" s="11">
        <v>81.666666666666671</v>
      </c>
    </row>
    <row r="95" spans="1:2" ht="15.75" thickBot="1" x14ac:dyDescent="0.3">
      <c r="A95" s="2" t="s">
        <v>38</v>
      </c>
      <c r="B95" s="11">
        <v>89.666666666666671</v>
      </c>
    </row>
    <row r="96" spans="1:2" ht="15.75" thickBot="1" x14ac:dyDescent="0.3">
      <c r="A96" s="2" t="s">
        <v>39</v>
      </c>
      <c r="B96" s="11">
        <v>69</v>
      </c>
    </row>
    <row r="97" spans="1:4" ht="15.75" thickBot="1" x14ac:dyDescent="0.3">
      <c r="A97" s="2" t="s">
        <v>40</v>
      </c>
      <c r="B97" s="12">
        <v>91.666666666666671</v>
      </c>
    </row>
    <row r="98" spans="1:4" ht="15.75" thickBot="1" x14ac:dyDescent="0.3">
      <c r="A98" s="2" t="s">
        <v>41</v>
      </c>
      <c r="B98" s="11">
        <v>57.666666666666664</v>
      </c>
    </row>
    <row r="101" spans="1:4" x14ac:dyDescent="0.25">
      <c r="A101" t="s">
        <v>55</v>
      </c>
    </row>
    <row r="102" spans="1:4" ht="15.75" thickBot="1" x14ac:dyDescent="0.3"/>
    <row r="103" spans="1:4" ht="15.75" thickBot="1" x14ac:dyDescent="0.3">
      <c r="B103" s="2" t="s">
        <v>89</v>
      </c>
      <c r="C103" s="2"/>
      <c r="D103" s="2">
        <v>3</v>
      </c>
    </row>
    <row r="106" spans="1:4" ht="15.75" thickBot="1" x14ac:dyDescent="0.3">
      <c r="A106" t="s">
        <v>56</v>
      </c>
    </row>
    <row r="107" spans="1:4" ht="15.75" thickBot="1" x14ac:dyDescent="0.3">
      <c r="B107" s="2" t="s">
        <v>36</v>
      </c>
      <c r="C107" s="2" t="s">
        <v>101</v>
      </c>
    </row>
    <row r="108" spans="1:4" ht="15.75" thickBot="1" x14ac:dyDescent="0.3">
      <c r="B108" s="2">
        <v>92</v>
      </c>
      <c r="C108" s="2" t="s">
        <v>90</v>
      </c>
    </row>
    <row r="109" spans="1:4" ht="15.75" thickBot="1" x14ac:dyDescent="0.3">
      <c r="B109" s="2">
        <v>96</v>
      </c>
      <c r="C109" s="2" t="s">
        <v>90</v>
      </c>
    </row>
    <row r="110" spans="1:4" ht="15.75" thickBot="1" x14ac:dyDescent="0.3">
      <c r="B110" s="2">
        <v>85</v>
      </c>
      <c r="C110" s="2" t="s">
        <v>90</v>
      </c>
    </row>
    <row r="111" spans="1:4" ht="15.75" thickBot="1" x14ac:dyDescent="0.3">
      <c r="B111" s="2">
        <v>98</v>
      </c>
      <c r="C111" s="2" t="s">
        <v>90</v>
      </c>
    </row>
    <row r="112" spans="1:4" ht="15.75" thickBot="1" x14ac:dyDescent="0.3">
      <c r="B112" s="2">
        <v>80</v>
      </c>
      <c r="C112" s="2" t="s">
        <v>91</v>
      </c>
    </row>
    <row r="114" spans="1:3" x14ac:dyDescent="0.25">
      <c r="A114" t="s">
        <v>57</v>
      </c>
    </row>
    <row r="116" spans="1:3" x14ac:dyDescent="0.25">
      <c r="B116" s="6" t="s">
        <v>92</v>
      </c>
      <c r="C116" t="s">
        <v>93</v>
      </c>
    </row>
    <row r="117" spans="1:3" x14ac:dyDescent="0.25">
      <c r="B117" s="7" t="s">
        <v>13</v>
      </c>
      <c r="C117">
        <v>225000</v>
      </c>
    </row>
    <row r="118" spans="1:3" x14ac:dyDescent="0.25">
      <c r="B118" s="7" t="s">
        <v>17</v>
      </c>
      <c r="C118">
        <v>135000</v>
      </c>
    </row>
    <row r="119" spans="1:3" x14ac:dyDescent="0.25">
      <c r="B119" s="7" t="s">
        <v>21</v>
      </c>
      <c r="C119">
        <v>54000</v>
      </c>
    </row>
    <row r="120" spans="1:3" x14ac:dyDescent="0.25">
      <c r="B120" s="7" t="s">
        <v>81</v>
      </c>
      <c r="C120">
        <v>414000</v>
      </c>
    </row>
    <row r="122" spans="1:3" x14ac:dyDescent="0.25">
      <c r="A122" t="s">
        <v>58</v>
      </c>
    </row>
    <row r="124" spans="1:3" x14ac:dyDescent="0.25">
      <c r="B124" s="6" t="s">
        <v>92</v>
      </c>
      <c r="C124" t="s">
        <v>93</v>
      </c>
    </row>
    <row r="125" spans="1:3" x14ac:dyDescent="0.25">
      <c r="B125" s="7" t="s">
        <v>19</v>
      </c>
      <c r="C125">
        <v>54000</v>
      </c>
    </row>
    <row r="126" spans="1:3" x14ac:dyDescent="0.25">
      <c r="B126" s="7" t="s">
        <v>11</v>
      </c>
      <c r="C126">
        <v>150000</v>
      </c>
    </row>
    <row r="127" spans="1:3" x14ac:dyDescent="0.25">
      <c r="B127" s="7" t="s">
        <v>15</v>
      </c>
      <c r="C127">
        <v>165000</v>
      </c>
    </row>
    <row r="128" spans="1:3" x14ac:dyDescent="0.25">
      <c r="B128" s="7" t="s">
        <v>23</v>
      </c>
      <c r="C128">
        <v>45000</v>
      </c>
    </row>
    <row r="129" spans="1:3" x14ac:dyDescent="0.25">
      <c r="B129" s="7" t="s">
        <v>81</v>
      </c>
      <c r="C129">
        <v>414000</v>
      </c>
    </row>
    <row r="132" spans="1:3" x14ac:dyDescent="0.25">
      <c r="A132" t="s">
        <v>59</v>
      </c>
    </row>
    <row r="134" spans="1:3" x14ac:dyDescent="0.25">
      <c r="B134" s="6" t="s">
        <v>92</v>
      </c>
      <c r="C134" t="s">
        <v>93</v>
      </c>
    </row>
    <row r="135" spans="1:3" x14ac:dyDescent="0.25">
      <c r="B135" s="7" t="s">
        <v>13</v>
      </c>
      <c r="C135">
        <v>225000</v>
      </c>
    </row>
    <row r="136" spans="1:3" x14ac:dyDescent="0.25">
      <c r="B136" s="7" t="s">
        <v>17</v>
      </c>
      <c r="C136">
        <v>135000</v>
      </c>
    </row>
    <row r="137" spans="1:3" x14ac:dyDescent="0.25">
      <c r="B137" s="7" t="s">
        <v>21</v>
      </c>
      <c r="C137">
        <v>54000</v>
      </c>
    </row>
    <row r="138" spans="1:3" x14ac:dyDescent="0.25">
      <c r="B138" s="7" t="s">
        <v>81</v>
      </c>
      <c r="C138">
        <v>414000</v>
      </c>
    </row>
    <row r="140" spans="1:3" x14ac:dyDescent="0.25">
      <c r="A140" t="s">
        <v>60</v>
      </c>
    </row>
    <row r="158" spans="1:1" x14ac:dyDescent="0.25">
      <c r="A158" t="s">
        <v>61</v>
      </c>
    </row>
    <row r="160" spans="1:1" ht="15.75" thickBot="1" x14ac:dyDescent="0.3"/>
    <row r="161" spans="1:3" ht="15.75" thickBot="1" x14ac:dyDescent="0.3">
      <c r="B161" s="2" t="s">
        <v>94</v>
      </c>
      <c r="C161" s="2">
        <v>82</v>
      </c>
    </row>
    <row r="164" spans="1:3" x14ac:dyDescent="0.25">
      <c r="A164" t="s">
        <v>62</v>
      </c>
    </row>
    <row r="165" spans="1:3" ht="15.75" thickBot="1" x14ac:dyDescent="0.3"/>
    <row r="166" spans="1:3" ht="15.75" thickBot="1" x14ac:dyDescent="0.3">
      <c r="B166" s="3" t="s">
        <v>96</v>
      </c>
      <c r="C166" s="3">
        <v>14.737706741552426</v>
      </c>
    </row>
    <row r="168" spans="1:3" x14ac:dyDescent="0.25">
      <c r="A168" t="s">
        <v>63</v>
      </c>
    </row>
    <row r="169" spans="1:3" ht="15.75" thickBot="1" x14ac:dyDescent="0.3"/>
    <row r="170" spans="1:3" ht="15.75" thickBot="1" x14ac:dyDescent="0.3">
      <c r="A170" s="2" t="s">
        <v>31</v>
      </c>
      <c r="B170" s="2" t="s">
        <v>32</v>
      </c>
      <c r="C170" s="2" t="s">
        <v>97</v>
      </c>
    </row>
    <row r="171" spans="1:3" ht="15.75" thickBot="1" x14ac:dyDescent="0.3">
      <c r="A171" s="2">
        <v>1</v>
      </c>
      <c r="B171" s="2" t="s">
        <v>37</v>
      </c>
      <c r="C171" s="2" t="str">
        <f>_xlfn.CONCAT(A171,B171)</f>
        <v>1Rahul</v>
      </c>
    </row>
    <row r="172" spans="1:3" ht="15.75" thickBot="1" x14ac:dyDescent="0.3">
      <c r="A172" s="2">
        <v>2</v>
      </c>
      <c r="B172" s="2" t="s">
        <v>38</v>
      </c>
      <c r="C172" s="2" t="str">
        <f t="shared" ref="C172:C175" si="3">_xlfn.CONCAT(A172,B172)</f>
        <v>2Sneha</v>
      </c>
    </row>
    <row r="173" spans="1:3" ht="15.75" thickBot="1" x14ac:dyDescent="0.3">
      <c r="A173" s="2">
        <v>3</v>
      </c>
      <c r="B173" s="2" t="s">
        <v>39</v>
      </c>
      <c r="C173" s="2" t="str">
        <f t="shared" si="3"/>
        <v>3Arjun</v>
      </c>
    </row>
    <row r="174" spans="1:3" ht="15.75" thickBot="1" x14ac:dyDescent="0.3">
      <c r="A174" s="2">
        <v>4</v>
      </c>
      <c r="B174" s="2" t="s">
        <v>40</v>
      </c>
      <c r="C174" s="2" t="str">
        <f t="shared" si="3"/>
        <v>4Pooja</v>
      </c>
    </row>
    <row r="175" spans="1:3" ht="15.75" thickBot="1" x14ac:dyDescent="0.3">
      <c r="A175" s="2">
        <v>5</v>
      </c>
      <c r="B175" s="2" t="s">
        <v>41</v>
      </c>
      <c r="C175" s="2" t="str">
        <f t="shared" si="3"/>
        <v>5Vikas</v>
      </c>
    </row>
    <row r="177" spans="1:3" x14ac:dyDescent="0.25">
      <c r="A177" t="s">
        <v>64</v>
      </c>
    </row>
    <row r="178" spans="1:3" ht="15.75" thickBot="1" x14ac:dyDescent="0.3"/>
    <row r="179" spans="1:3" ht="15.75" thickBot="1" x14ac:dyDescent="0.3">
      <c r="B179" s="2" t="s">
        <v>6</v>
      </c>
      <c r="C179" s="2"/>
    </row>
    <row r="180" spans="1:3" ht="15.75" thickBot="1" x14ac:dyDescent="0.3">
      <c r="B180" s="2" t="s">
        <v>12</v>
      </c>
      <c r="C180" s="2" t="str">
        <f>LEFT(B180,2)</f>
        <v>Am</v>
      </c>
    </row>
    <row r="181" spans="1:3" ht="15.75" thickBot="1" x14ac:dyDescent="0.3">
      <c r="B181" s="2" t="s">
        <v>16</v>
      </c>
      <c r="C181" s="2" t="str">
        <f t="shared" ref="C181:C185" si="4">LEFT(B181,2)</f>
        <v>Ri</v>
      </c>
    </row>
    <row r="182" spans="1:3" ht="15.75" thickBot="1" x14ac:dyDescent="0.3">
      <c r="B182" s="2" t="s">
        <v>20</v>
      </c>
      <c r="C182" s="2" t="str">
        <f t="shared" si="4"/>
        <v>Ku</v>
      </c>
    </row>
    <row r="183" spans="1:3" ht="15.75" thickBot="1" x14ac:dyDescent="0.3">
      <c r="B183" s="2" t="s">
        <v>24</v>
      </c>
      <c r="C183" s="2" t="str">
        <f t="shared" si="4"/>
        <v>Ne</v>
      </c>
    </row>
    <row r="184" spans="1:3" ht="15.75" thickBot="1" x14ac:dyDescent="0.3">
      <c r="B184" s="2" t="s">
        <v>12</v>
      </c>
      <c r="C184" s="2" t="str">
        <f t="shared" si="4"/>
        <v>Am</v>
      </c>
    </row>
    <row r="185" spans="1:3" ht="15.75" thickBot="1" x14ac:dyDescent="0.3">
      <c r="B185" s="2" t="s">
        <v>16</v>
      </c>
      <c r="C185" s="2" t="str">
        <f t="shared" si="4"/>
        <v>Ri</v>
      </c>
    </row>
    <row r="187" spans="1:3" x14ac:dyDescent="0.25">
      <c r="A187" t="s">
        <v>65</v>
      </c>
    </row>
    <row r="188" spans="1:3" ht="15.75" thickBot="1" x14ac:dyDescent="0.3"/>
    <row r="189" spans="1:3" ht="15.75" thickBot="1" x14ac:dyDescent="0.3">
      <c r="B189" s="3" t="s">
        <v>7</v>
      </c>
      <c r="C189" s="3" t="s">
        <v>78</v>
      </c>
    </row>
    <row r="190" spans="1:3" ht="15.75" thickBot="1" x14ac:dyDescent="0.3">
      <c r="B190" s="3" t="s">
        <v>13</v>
      </c>
      <c r="C190" s="3">
        <v>98100</v>
      </c>
    </row>
    <row r="191" spans="1:3" ht="15.75" thickBot="1" x14ac:dyDescent="0.3">
      <c r="B191" s="3" t="s">
        <v>17</v>
      </c>
      <c r="C191" s="3">
        <v>76800</v>
      </c>
    </row>
    <row r="192" spans="1:3" ht="15.75" thickBot="1" x14ac:dyDescent="0.3">
      <c r="B192" s="3" t="s">
        <v>21</v>
      </c>
      <c r="C192" s="3">
        <v>56160</v>
      </c>
    </row>
    <row r="193" spans="1:3" ht="15.75" thickBot="1" x14ac:dyDescent="0.3">
      <c r="B193" s="3" t="s">
        <v>13</v>
      </c>
      <c r="C193" s="3">
        <v>53100</v>
      </c>
    </row>
    <row r="194" spans="1:3" ht="15.75" thickBot="1" x14ac:dyDescent="0.3">
      <c r="B194" s="3" t="s">
        <v>17</v>
      </c>
      <c r="C194" s="3">
        <v>61800</v>
      </c>
    </row>
    <row r="195" spans="1:3" ht="15.75" thickBot="1" x14ac:dyDescent="0.3">
      <c r="B195" s="3" t="s">
        <v>13</v>
      </c>
      <c r="C195" s="3">
        <v>95400</v>
      </c>
    </row>
    <row r="198" spans="1:3" x14ac:dyDescent="0.25">
      <c r="A198" t="s">
        <v>66</v>
      </c>
    </row>
    <row r="199" spans="1:3" ht="15.75" thickBot="1" x14ac:dyDescent="0.3"/>
    <row r="200" spans="1:3" ht="15.75" thickBot="1" x14ac:dyDescent="0.3">
      <c r="B200" s="2" t="s">
        <v>7</v>
      </c>
      <c r="C200" s="2" t="s">
        <v>8</v>
      </c>
    </row>
    <row r="201" spans="1:3" ht="15.75" thickBot="1" x14ac:dyDescent="0.3">
      <c r="B201" s="2" t="s">
        <v>13</v>
      </c>
      <c r="C201" s="2">
        <v>2</v>
      </c>
    </row>
    <row r="202" spans="1:3" ht="15.75" thickBot="1" x14ac:dyDescent="0.3">
      <c r="B202" s="2" t="s">
        <v>17</v>
      </c>
      <c r="C202" s="2">
        <v>5</v>
      </c>
    </row>
    <row r="203" spans="1:3" ht="15.75" thickBot="1" x14ac:dyDescent="0.3">
      <c r="B203" s="2" t="s">
        <v>21</v>
      </c>
      <c r="C203" s="2">
        <v>3</v>
      </c>
    </row>
    <row r="204" spans="1:3" hidden="1" x14ac:dyDescent="0.25">
      <c r="B204" s="1" t="s">
        <v>13</v>
      </c>
      <c r="C204" s="1">
        <v>1</v>
      </c>
    </row>
    <row r="205" spans="1:3" ht="15.75" thickBot="1" x14ac:dyDescent="0.3">
      <c r="B205" s="2" t="s">
        <v>17</v>
      </c>
      <c r="C205" s="2">
        <v>4</v>
      </c>
    </row>
    <row r="206" spans="1:3" ht="15.75" thickBot="1" x14ac:dyDescent="0.3">
      <c r="B206" s="2" t="s">
        <v>13</v>
      </c>
      <c r="C206" s="2">
        <v>2</v>
      </c>
    </row>
    <row r="208" spans="1:3" x14ac:dyDescent="0.25">
      <c r="A208" t="s">
        <v>67</v>
      </c>
    </row>
    <row r="209" spans="1:5" ht="15.75" thickBot="1" x14ac:dyDescent="0.3"/>
    <row r="210" spans="1:5" ht="15.75" thickBot="1" x14ac:dyDescent="0.3">
      <c r="B210" s="2" t="s">
        <v>5</v>
      </c>
      <c r="C210" s="2" t="s">
        <v>7</v>
      </c>
      <c r="D210" s="2" t="s">
        <v>8</v>
      </c>
      <c r="E210" s="2" t="s">
        <v>98</v>
      </c>
    </row>
    <row r="211" spans="1:5" ht="15.75" thickBot="1" x14ac:dyDescent="0.3">
      <c r="B211" s="2" t="s">
        <v>11</v>
      </c>
      <c r="C211" s="2" t="s">
        <v>13</v>
      </c>
      <c r="D211" s="2">
        <v>2</v>
      </c>
      <c r="E211" s="2">
        <f>COUNTIF(B210:D216,"North")</f>
        <v>2</v>
      </c>
    </row>
    <row r="212" spans="1:5" ht="15.75" thickBot="1" x14ac:dyDescent="0.3">
      <c r="B212" s="2" t="s">
        <v>15</v>
      </c>
      <c r="C212" s="2" t="s">
        <v>17</v>
      </c>
      <c r="D212" s="2">
        <v>5</v>
      </c>
      <c r="E212" s="2"/>
    </row>
    <row r="213" spans="1:5" ht="15.75" thickBot="1" x14ac:dyDescent="0.3">
      <c r="B213" s="2" t="s">
        <v>19</v>
      </c>
      <c r="C213" s="2" t="s">
        <v>21</v>
      </c>
      <c r="D213" s="2">
        <v>3</v>
      </c>
      <c r="E213" s="2"/>
    </row>
    <row r="214" spans="1:5" ht="15.75" thickBot="1" x14ac:dyDescent="0.3">
      <c r="B214" s="2" t="s">
        <v>23</v>
      </c>
      <c r="C214" s="2" t="s">
        <v>13</v>
      </c>
      <c r="D214" s="2">
        <v>1</v>
      </c>
      <c r="E214" s="2">
        <f t="shared" ref="E214" si="5">COUNTIF(B213:D219,"North")</f>
        <v>1</v>
      </c>
    </row>
    <row r="215" spans="1:5" ht="15.75" thickBot="1" x14ac:dyDescent="0.3">
      <c r="B215" s="2" t="s">
        <v>11</v>
      </c>
      <c r="C215" s="2" t="s">
        <v>17</v>
      </c>
      <c r="D215" s="2">
        <v>4</v>
      </c>
      <c r="E215" s="2"/>
    </row>
    <row r="216" spans="1:5" ht="15.75" thickBot="1" x14ac:dyDescent="0.3">
      <c r="B216" s="2" t="s">
        <v>15</v>
      </c>
      <c r="C216" s="2" t="s">
        <v>13</v>
      </c>
      <c r="D216" s="2">
        <v>2</v>
      </c>
      <c r="E216" s="2"/>
    </row>
    <row r="218" spans="1:5" x14ac:dyDescent="0.25">
      <c r="A218" t="s">
        <v>68</v>
      </c>
    </row>
    <row r="220" spans="1:5" ht="15.75" thickBot="1" x14ac:dyDescent="0.3"/>
    <row r="221" spans="1:5" ht="15.75" thickBot="1" x14ac:dyDescent="0.3">
      <c r="B221" s="2" t="s">
        <v>9</v>
      </c>
      <c r="C221" s="2"/>
    </row>
    <row r="222" spans="1:5" ht="15.75" thickBot="1" x14ac:dyDescent="0.3">
      <c r="B222" s="2">
        <v>45000</v>
      </c>
      <c r="C222" s="2" cm="1">
        <f t="array" ref="C222:C227">ROUND(B222:B227,0)</f>
        <v>45000</v>
      </c>
    </row>
    <row r="223" spans="1:5" ht="15.75" thickBot="1" x14ac:dyDescent="0.3">
      <c r="B223" s="2">
        <v>15000</v>
      </c>
      <c r="C223" s="2">
        <v>15000</v>
      </c>
    </row>
    <row r="224" spans="1:5" ht="15.75" thickBot="1" x14ac:dyDescent="0.3">
      <c r="B224" s="2">
        <v>18000</v>
      </c>
      <c r="C224" s="2">
        <v>18000</v>
      </c>
    </row>
    <row r="225" spans="1:6" ht="15.75" thickBot="1" x14ac:dyDescent="0.3">
      <c r="B225" s="2">
        <v>45000</v>
      </c>
      <c r="C225" s="2">
        <v>45000</v>
      </c>
    </row>
    <row r="226" spans="1:6" ht="15.75" thickBot="1" x14ac:dyDescent="0.3">
      <c r="B226" s="2">
        <v>15000</v>
      </c>
      <c r="C226" s="2">
        <v>15000</v>
      </c>
    </row>
    <row r="227" spans="1:6" ht="15.75" thickBot="1" x14ac:dyDescent="0.3">
      <c r="B227" s="2">
        <v>45000</v>
      </c>
      <c r="C227" s="2">
        <v>45000</v>
      </c>
    </row>
    <row r="230" spans="1:6" x14ac:dyDescent="0.25">
      <c r="A230" t="s">
        <v>69</v>
      </c>
    </row>
    <row r="231" spans="1:6" ht="15.75" thickBot="1" x14ac:dyDescent="0.3"/>
    <row r="232" spans="1:6" ht="15.75" thickBot="1" x14ac:dyDescent="0.3">
      <c r="B232" s="3" t="s">
        <v>6</v>
      </c>
    </row>
    <row r="233" spans="1:6" ht="15.75" thickBot="1" x14ac:dyDescent="0.3">
      <c r="B233" s="3" t="s">
        <v>12</v>
      </c>
    </row>
    <row r="234" spans="1:6" ht="15.75" thickBot="1" x14ac:dyDescent="0.3">
      <c r="B234" s="3" t="s">
        <v>16</v>
      </c>
    </row>
    <row r="235" spans="1:6" ht="15.75" thickBot="1" x14ac:dyDescent="0.3">
      <c r="B235" s="3" t="s">
        <v>20</v>
      </c>
    </row>
    <row r="236" spans="1:6" ht="15.75" thickBot="1" x14ac:dyDescent="0.3">
      <c r="B236" s="3" t="s">
        <v>24</v>
      </c>
    </row>
    <row r="238" spans="1:6" x14ac:dyDescent="0.25">
      <c r="A238" t="s">
        <v>71</v>
      </c>
    </row>
    <row r="239" spans="1:6" ht="15.75" thickBot="1" x14ac:dyDescent="0.3"/>
    <row r="240" spans="1:6" ht="15.75" thickBot="1" x14ac:dyDescent="0.3">
      <c r="A240" s="3" t="s">
        <v>31</v>
      </c>
      <c r="B240" s="3" t="s">
        <v>32</v>
      </c>
      <c r="C240" s="3" t="s">
        <v>33</v>
      </c>
      <c r="D240" s="3" t="s">
        <v>34</v>
      </c>
      <c r="E240" s="3" t="s">
        <v>35</v>
      </c>
      <c r="F240" s="3" t="s">
        <v>36</v>
      </c>
    </row>
    <row r="241" spans="1:6" ht="15.75" thickBot="1" x14ac:dyDescent="0.3">
      <c r="A241" s="3">
        <v>1</v>
      </c>
      <c r="B241" s="3" t="s">
        <v>37</v>
      </c>
      <c r="C241" s="3">
        <v>78</v>
      </c>
      <c r="D241" s="3">
        <v>82</v>
      </c>
      <c r="E241" s="3">
        <v>85</v>
      </c>
      <c r="F241" s="3">
        <v>92</v>
      </c>
    </row>
    <row r="242" spans="1:6" ht="15.75" thickBot="1" x14ac:dyDescent="0.3">
      <c r="A242" s="3">
        <v>2</v>
      </c>
      <c r="B242" s="3" t="s">
        <v>38</v>
      </c>
      <c r="C242" s="3">
        <v>88</v>
      </c>
      <c r="D242" s="3">
        <v>91</v>
      </c>
      <c r="E242" s="3">
        <v>90</v>
      </c>
      <c r="F242" s="3">
        <v>96</v>
      </c>
    </row>
    <row r="243" spans="1:6" ht="15.75" thickBot="1" x14ac:dyDescent="0.3">
      <c r="A243" s="3">
        <v>3</v>
      </c>
      <c r="B243" s="3" t="s">
        <v>39</v>
      </c>
      <c r="C243" s="3">
        <v>65</v>
      </c>
      <c r="D243" s="3">
        <v>70</v>
      </c>
      <c r="E243" s="3">
        <v>72</v>
      </c>
      <c r="F243" s="3">
        <v>85</v>
      </c>
    </row>
    <row r="244" spans="1:6" ht="15.75" thickBot="1" x14ac:dyDescent="0.3">
      <c r="A244" s="3">
        <v>4</v>
      </c>
      <c r="B244" s="3" t="s">
        <v>40</v>
      </c>
      <c r="C244" s="3">
        <v>92</v>
      </c>
      <c r="D244" s="3">
        <v>89</v>
      </c>
      <c r="E244" s="3">
        <v>94</v>
      </c>
      <c r="F244" s="3">
        <v>98</v>
      </c>
    </row>
    <row r="245" spans="1:6" ht="15.75" thickBot="1" x14ac:dyDescent="0.3">
      <c r="A245" s="3">
        <v>5</v>
      </c>
      <c r="B245" s="3" t="s">
        <v>41</v>
      </c>
      <c r="C245" s="3">
        <v>55</v>
      </c>
      <c r="D245" s="3">
        <v>60</v>
      </c>
      <c r="E245" s="3">
        <v>58</v>
      </c>
      <c r="F245" s="3">
        <v>80</v>
      </c>
    </row>
  </sheetData>
  <sheetProtection algorithmName="SHA-512" hashValue="lU52Vf/t7YHG9mgMBRChx+5OD34Gs5cHqSiAWz8Bo5+2keKGhC9jDdmZXDfiIa1hUYMOO482iUPl/5kJRkRwtA==" saltValue="TWfHEQS1rFsANhPhGCf/hA==" spinCount="100000" sheet="1" objects="1" scenarios="1"/>
  <autoFilter ref="B200:C206" xr:uid="{20E010C3-4EED-4057-8CD6-6974433C3E8E}">
    <filterColumn colId="1">
      <customFilters>
        <customFilter operator="greaterThan" val="1"/>
      </customFilters>
    </filterColumn>
  </autoFilter>
  <sortState xmlns:xlrd2="http://schemas.microsoft.com/office/spreadsheetml/2017/richdata2" ref="B73:C78">
    <sortCondition descending="1" ref="C73:C78"/>
  </sortState>
  <phoneticPr fontId="2" type="noConversion"/>
  <conditionalFormatting sqref="A93:B98">
    <cfRule type="top10" dxfId="2" priority="3" rank="1"/>
  </conditionalFormatting>
  <conditionalFormatting sqref="B232:B236">
    <cfRule type="duplicateValues" dxfId="1" priority="1"/>
  </conditionalFormatting>
  <conditionalFormatting sqref="C189:C195">
    <cfRule type="cellIs" dxfId="0" priority="2" operator="greaterThan">
      <formula>60000</formula>
    </cfRule>
  </conditionalFormatting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Product_Master</vt:lpstr>
      <vt:lpstr>Sheet2</vt:lpstr>
      <vt:lpstr>Sales_Data</vt:lpstr>
      <vt:lpstr>Answer29</vt:lpstr>
      <vt:lpstr>Student_Marks</vt:lpstr>
      <vt:lpstr>Questions</vt:lpstr>
      <vt:lpstr>Answer 1 to 28,30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Urvee Thakkar</cp:lastModifiedBy>
  <dcterms:created xsi:type="dcterms:W3CDTF">2025-12-20T09:26:06Z</dcterms:created>
  <dcterms:modified xsi:type="dcterms:W3CDTF">2026-07-07T12:49:58Z</dcterms:modified>
</cp:coreProperties>
</file>