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4eafd04f4763d4/Documents/"/>
    </mc:Choice>
  </mc:AlternateContent>
  <xr:revisionPtr revIDLastSave="0" documentId="8_{E993AC98-1C9A-4FA1-8336-A98896C4DAA2}" xr6:coauthVersionLast="45" xr6:coauthVersionMax="45" xr10:uidLastSave="{00000000-0000-0000-0000-000000000000}"/>
  <bookViews>
    <workbookView xWindow="-120" yWindow="-120" windowWidth="20730" windowHeight="11040" xr2:uid="{902C394D-C181-4553-96FF-7EC9937094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1" i="1" l="1"/>
  <c r="B85" i="1"/>
  <c r="B79" i="1"/>
  <c r="B73" i="1"/>
  <c r="H4" i="1"/>
  <c r="H5" i="1"/>
  <c r="H6" i="1"/>
  <c r="H7" i="1"/>
  <c r="H8" i="1"/>
  <c r="H9" i="1"/>
  <c r="H10" i="1"/>
  <c r="H11" i="1"/>
  <c r="B65" i="1"/>
  <c r="B59" i="1"/>
  <c r="B53" i="1" l="1"/>
  <c r="B47" i="1"/>
  <c r="B41" i="1"/>
  <c r="B29" i="1"/>
  <c r="B30" i="1"/>
  <c r="B31" i="1"/>
  <c r="B32" i="1"/>
  <c r="B33" i="1"/>
  <c r="B34" i="1"/>
  <c r="B35" i="1"/>
  <c r="B28" i="1"/>
</calcChain>
</file>

<file path=xl/sharedStrings.xml><?xml version="1.0" encoding="utf-8"?>
<sst xmlns="http://schemas.openxmlformats.org/spreadsheetml/2006/main" count="128" uniqueCount="62">
  <si>
    <t>Employee_Data</t>
  </si>
  <si>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</si>
  <si>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</si>
  <si>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</si>
  <si>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</si>
  <si>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</si>
  <si>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</si>
  <si>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</si>
  <si>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</si>
  <si>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</si>
  <si>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</si>
  <si>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</si>
  <si>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</si>
  <si>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</si>
  <si>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</si>
  <si>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</si>
  <si>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</si>
  <si>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</si>
  <si>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</si>
  <si>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</si>
  <si>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</si>
  <si>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</si>
  <si>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</si>
  <si>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</si>
  <si>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</si>
  <si>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</si>
  <si>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</si>
  <si>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</si>
  <si>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</si>
  <si>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</si>
  <si>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</si>
  <si>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</si>
  <si>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</si>
  <si>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</si>
  <si>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Department_Bonus (Horizontal Table)</t>
  </si>
  <si>
    <t>Bonus %</t>
  </si>
  <si>
    <t>Search_Input</t>
  </si>
  <si>
    <t>VLOOKUP</t>
  </si>
  <si>
    <t>1. Find the Name of employee using EmployeeID from Search_Input.</t>
  </si>
  <si>
    <t>2. Find the Department of employee with ID E103.</t>
  </si>
  <si>
    <t>Employee Id</t>
  </si>
  <si>
    <t>3. Find the Salary of employee Neha Singh using VLOOKUP.</t>
  </si>
  <si>
    <t>Neha Sing</t>
  </si>
  <si>
    <t>4. Get the Location of employee E107.</t>
  </si>
  <si>
    <t>5. If EmployeeID is not found, display "Not Found".</t>
  </si>
  <si>
    <t>E110</t>
  </si>
  <si>
    <t>6.Find the JoiningYear of employee E101</t>
  </si>
  <si>
    <t>Joining Year</t>
  </si>
  <si>
    <t>HLOOKUP</t>
  </si>
  <si>
    <t>7. Find the Bonus % for IT department.</t>
  </si>
  <si>
    <t>Bouns%</t>
  </si>
  <si>
    <t>Bouns Amount</t>
  </si>
  <si>
    <t>It</t>
  </si>
  <si>
    <t>8. Find the Bonus % for Finance department.</t>
  </si>
  <si>
    <t>Bouns %</t>
  </si>
  <si>
    <t>9.Calculate Bonus Amount for employee E104</t>
  </si>
  <si>
    <t>Employeed Id</t>
  </si>
  <si>
    <t>10. If department is invalid, display "No Bonus Data".</t>
  </si>
  <si>
    <t>sales Executive</t>
  </si>
  <si>
    <t>XLOOKUP</t>
  </si>
  <si>
    <t>11. Find Salary using EmployeeID.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</si>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</sst>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AD6B-3CD6-4C22-B7F9-F4C4048AC05E}">
  <dimension ref="A2:S99"/>
  <sheetViews>
    <sheetView tabSelected="1" topLeftCell="A84" workbookViewId="0">
      <selection activeCell="B99" sqref="B99"/>
    </sheetView>
  </sheetViews>
  <sheetFormatPr defaultRowHeight="15" x14ac:dyDescent="0.25"/>
  <cols>
    <col min="1" max="1" width="13.42578125" customWidth="1"/>
    <col min="2" max="2" width="13.85546875" customWidth="1"/>
    <col min="3" max="3" width="11" customWidth="1"/>
    <col min="4" max="4" width="11.28515625" customWidth="1"/>
    <col min="6" max="6" width="11.28515625" customWidth="1"/>
    <col min="11" max="11" width="11.42578125" customWidth="1"/>
  </cols>
  <sheetData>
    <row r="2" spans="1:19" x14ac:dyDescent="0.25">
      <c r="A2" s="1" t="s">
        <v>0</v>
      </c>
      <c r="B2" s="1"/>
      <c r="C2" s="1"/>
      <c r="D2" s="1"/>
      <c r="E2" s="1"/>
      <c r="F2" s="1"/>
    </row>
    <row r="3" spans="1:1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50</v>
      </c>
      <c r="H3" s="1" t="s">
        <v>51</v>
      </c>
    </row>
    <row r="4" spans="1:19" x14ac:dyDescent="0.25">
      <c r="A4" s="1" t="s">
        <v>7</v>
      </c>
      <c r="B4" s="1" t="s">
        <v>8</v>
      </c>
      <c r="C4" s="1" t="s">
        <v>9</v>
      </c>
      <c r="D4" s="1" t="s">
        <v>10</v>
      </c>
      <c r="E4" s="1">
        <v>45000</v>
      </c>
      <c r="F4" s="1">
        <v>2019</v>
      </c>
      <c r="G4" s="3">
        <v>0.1</v>
      </c>
      <c r="H4">
        <f>(E4*G4)</f>
        <v>4500</v>
      </c>
    </row>
    <row r="5" spans="1:19" x14ac:dyDescent="0.25">
      <c r="A5" s="1" t="s">
        <v>11</v>
      </c>
      <c r="B5" s="1" t="s">
        <v>12</v>
      </c>
      <c r="C5" s="1" t="s">
        <v>13</v>
      </c>
      <c r="D5" s="1" t="s">
        <v>14</v>
      </c>
      <c r="E5" s="1">
        <v>52000</v>
      </c>
      <c r="F5" s="1">
        <v>2018</v>
      </c>
      <c r="G5" s="3">
        <v>0.08</v>
      </c>
      <c r="H5">
        <f t="shared" ref="H5:H11" si="0">(E5*G5)</f>
        <v>4160</v>
      </c>
    </row>
    <row r="6" spans="1:19" x14ac:dyDescent="0.25">
      <c r="A6" s="1" t="s">
        <v>15</v>
      </c>
      <c r="B6" s="1" t="s">
        <v>16</v>
      </c>
      <c r="C6" s="1" t="s">
        <v>17</v>
      </c>
      <c r="D6" s="1" t="s">
        <v>18</v>
      </c>
      <c r="E6" s="1">
        <v>65000</v>
      </c>
      <c r="F6" s="1">
        <v>2020</v>
      </c>
      <c r="G6" s="3">
        <v>0.12</v>
      </c>
      <c r="H6">
        <f t="shared" si="0"/>
        <v>7800</v>
      </c>
    </row>
    <row r="7" spans="1:19" x14ac:dyDescent="0.25">
      <c r="A7" s="1" t="s">
        <v>19</v>
      </c>
      <c r="B7" s="1" t="s">
        <v>20</v>
      </c>
      <c r="C7" s="1" t="s">
        <v>21</v>
      </c>
      <c r="D7" s="1" t="s">
        <v>22</v>
      </c>
      <c r="E7" s="1">
        <v>58000</v>
      </c>
      <c r="F7" s="1">
        <v>2017</v>
      </c>
      <c r="G7" s="3">
        <v>0.15</v>
      </c>
      <c r="H7">
        <f t="shared" si="0"/>
        <v>8700</v>
      </c>
    </row>
    <row r="8" spans="1:19" x14ac:dyDescent="0.25">
      <c r="A8" s="1" t="s">
        <v>23</v>
      </c>
      <c r="B8" s="1" t="s">
        <v>24</v>
      </c>
      <c r="C8" s="1" t="s">
        <v>25</v>
      </c>
      <c r="D8" s="1" t="s">
        <v>10</v>
      </c>
      <c r="E8" s="1">
        <v>48000</v>
      </c>
      <c r="F8" s="1">
        <v>2021</v>
      </c>
      <c r="G8" s="3">
        <v>0.09</v>
      </c>
      <c r="H8">
        <f t="shared" si="0"/>
        <v>4320</v>
      </c>
    </row>
    <row r="9" spans="1:19" x14ac:dyDescent="0.25">
      <c r="A9" s="1" t="s">
        <v>26</v>
      </c>
      <c r="B9" s="1" t="s">
        <v>27</v>
      </c>
      <c r="C9" s="1" t="s">
        <v>17</v>
      </c>
      <c r="D9" s="1" t="s">
        <v>28</v>
      </c>
      <c r="E9" s="1">
        <v>62000</v>
      </c>
      <c r="F9" s="1">
        <v>2019</v>
      </c>
      <c r="G9" s="3">
        <v>0.12</v>
      </c>
      <c r="H9">
        <f t="shared" si="0"/>
        <v>7440</v>
      </c>
    </row>
    <row r="10" spans="1:19" x14ac:dyDescent="0.25">
      <c r="A10" s="1" t="s">
        <v>29</v>
      </c>
      <c r="B10" s="1" t="s">
        <v>30</v>
      </c>
      <c r="C10" s="1" t="s">
        <v>9</v>
      </c>
      <c r="D10" s="1" t="s">
        <v>31</v>
      </c>
      <c r="E10" s="1">
        <v>47000</v>
      </c>
      <c r="F10" s="1">
        <v>2020</v>
      </c>
      <c r="G10" s="3">
        <v>0.1</v>
      </c>
      <c r="H10">
        <f t="shared" si="0"/>
        <v>4700</v>
      </c>
    </row>
    <row r="11" spans="1:19" x14ac:dyDescent="0.25">
      <c r="A11" s="1" t="s">
        <v>32</v>
      </c>
      <c r="B11" s="1" t="s">
        <v>33</v>
      </c>
      <c r="C11" s="1" t="s">
        <v>13</v>
      </c>
      <c r="D11" s="1" t="s">
        <v>18</v>
      </c>
      <c r="E11" s="1">
        <v>54000</v>
      </c>
      <c r="F11" s="1">
        <v>2016</v>
      </c>
      <c r="G11" s="3">
        <v>0.08</v>
      </c>
      <c r="H11">
        <f t="shared" si="0"/>
        <v>4320</v>
      </c>
      <c r="K11" t="s">
        <v>40</v>
      </c>
      <c r="L11" s="1" t="s">
        <v>7</v>
      </c>
      <c r="M11" s="1" t="s">
        <v>11</v>
      </c>
      <c r="N11" s="1" t="s">
        <v>15</v>
      </c>
      <c r="O11" s="1" t="s">
        <v>19</v>
      </c>
      <c r="P11" s="1" t="s">
        <v>23</v>
      </c>
      <c r="Q11" s="1" t="s">
        <v>26</v>
      </c>
      <c r="R11" s="1" t="s">
        <v>29</v>
      </c>
      <c r="S11" s="1" t="s">
        <v>32</v>
      </c>
    </row>
    <row r="12" spans="1:19" x14ac:dyDescent="0.25">
      <c r="K12" t="s">
        <v>3</v>
      </c>
      <c r="L12" s="1" t="s">
        <v>9</v>
      </c>
      <c r="M12" s="1" t="s">
        <v>13</v>
      </c>
      <c r="N12" s="1" t="s">
        <v>17</v>
      </c>
      <c r="O12" s="1" t="s">
        <v>21</v>
      </c>
      <c r="P12" s="1" t="s">
        <v>25</v>
      </c>
      <c r="Q12" s="1" t="s">
        <v>17</v>
      </c>
      <c r="R12" s="1" t="s">
        <v>9</v>
      </c>
      <c r="S12" s="1" t="s">
        <v>13</v>
      </c>
    </row>
    <row r="13" spans="1:19" x14ac:dyDescent="0.25">
      <c r="K13" s="1" t="s">
        <v>50</v>
      </c>
      <c r="L13" s="3">
        <v>0.1</v>
      </c>
      <c r="M13" s="3">
        <v>0.08</v>
      </c>
      <c r="N13" s="3">
        <v>0.12</v>
      </c>
      <c r="O13" s="3">
        <v>0.15</v>
      </c>
      <c r="P13" s="3">
        <v>0.09</v>
      </c>
      <c r="Q13" s="3">
        <v>0.12</v>
      </c>
      <c r="R13" s="3">
        <v>0.1</v>
      </c>
      <c r="S13" s="3">
        <v>0.08</v>
      </c>
    </row>
    <row r="14" spans="1:19" x14ac:dyDescent="0.25">
      <c r="A14" t="s">
        <v>34</v>
      </c>
      <c r="K14" s="1" t="s">
        <v>51</v>
      </c>
      <c r="L14">
        <v>4500</v>
      </c>
      <c r="M14">
        <v>4160</v>
      </c>
      <c r="N14">
        <v>7800</v>
      </c>
      <c r="O14">
        <v>8700</v>
      </c>
      <c r="P14">
        <v>4320</v>
      </c>
      <c r="Q14">
        <v>7440</v>
      </c>
      <c r="R14">
        <v>4700</v>
      </c>
      <c r="S14">
        <v>4320</v>
      </c>
    </row>
    <row r="15" spans="1:19" x14ac:dyDescent="0.25">
      <c r="A15" t="s">
        <v>3</v>
      </c>
      <c r="B15" t="s">
        <v>9</v>
      </c>
      <c r="C15" t="s">
        <v>13</v>
      </c>
      <c r="D15" t="s">
        <v>17</v>
      </c>
      <c r="E15" t="s">
        <v>21</v>
      </c>
      <c r="F15" t="s">
        <v>25</v>
      </c>
      <c r="K15" s="3"/>
    </row>
    <row r="16" spans="1:19" x14ac:dyDescent="0.25">
      <c r="A16" t="s">
        <v>35</v>
      </c>
      <c r="B16" s="2">
        <v>0.1</v>
      </c>
      <c r="C16" s="2">
        <v>0.08</v>
      </c>
      <c r="D16" s="2">
        <v>0.12</v>
      </c>
      <c r="E16" s="2">
        <v>0.15</v>
      </c>
      <c r="F16" s="2">
        <v>0.09</v>
      </c>
      <c r="K16" s="3"/>
    </row>
    <row r="17" spans="1:11" x14ac:dyDescent="0.25">
      <c r="K17" s="3"/>
    </row>
    <row r="18" spans="1:11" x14ac:dyDescent="0.25">
      <c r="K18" s="3"/>
    </row>
    <row r="19" spans="1:11" x14ac:dyDescent="0.25">
      <c r="A19" t="s">
        <v>36</v>
      </c>
      <c r="K19" s="3"/>
    </row>
    <row r="20" spans="1:11" x14ac:dyDescent="0.25">
      <c r="A20" t="s">
        <v>1</v>
      </c>
      <c r="B20" t="s">
        <v>2</v>
      </c>
      <c r="K20" s="3"/>
    </row>
    <row r="21" spans="1:11" x14ac:dyDescent="0.25">
      <c r="A21" t="s">
        <v>19</v>
      </c>
      <c r="B21" t="s">
        <v>16</v>
      </c>
      <c r="K21" s="3"/>
    </row>
    <row r="23" spans="1:11" x14ac:dyDescent="0.25">
      <c r="C23" t="s">
        <v>37</v>
      </c>
    </row>
    <row r="25" spans="1:11" x14ac:dyDescent="0.25">
      <c r="A25" t="s">
        <v>38</v>
      </c>
    </row>
    <row r="27" spans="1:11" x14ac:dyDescent="0.25">
      <c r="A27" t="s">
        <v>1</v>
      </c>
      <c r="B27" t="s">
        <v>2</v>
      </c>
    </row>
    <row r="28" spans="1:11" x14ac:dyDescent="0.25">
      <c r="A28" t="s">
        <v>7</v>
      </c>
      <c r="B28" t="str">
        <f>VLOOKUP(A28,A3:F11,2,0)</f>
        <v>Rahul Sharma</v>
      </c>
    </row>
    <row r="29" spans="1:11" x14ac:dyDescent="0.25">
      <c r="A29" t="s">
        <v>11</v>
      </c>
      <c r="B29" t="str">
        <f t="shared" ref="B29:B35" si="1">VLOOKUP(A29,A4:F12,2,0)</f>
        <v>Ananya Gupta</v>
      </c>
    </row>
    <row r="30" spans="1:11" x14ac:dyDescent="0.25">
      <c r="A30" t="s">
        <v>15</v>
      </c>
      <c r="B30" t="str">
        <f t="shared" si="1"/>
        <v>Rohit Verma</v>
      </c>
    </row>
    <row r="31" spans="1:11" x14ac:dyDescent="0.25">
      <c r="A31" t="s">
        <v>19</v>
      </c>
      <c r="B31" t="str">
        <f t="shared" si="1"/>
        <v>Neha Singh</v>
      </c>
    </row>
    <row r="32" spans="1:11" x14ac:dyDescent="0.25">
      <c r="A32" t="s">
        <v>23</v>
      </c>
      <c r="B32" t="str">
        <f t="shared" si="1"/>
        <v>Aman Kumar</v>
      </c>
    </row>
    <row r="33" spans="1:2" x14ac:dyDescent="0.25">
      <c r="A33" t="s">
        <v>26</v>
      </c>
      <c r="B33" t="str">
        <f t="shared" si="1"/>
        <v>Pooja Mehta</v>
      </c>
    </row>
    <row r="34" spans="1:2" x14ac:dyDescent="0.25">
      <c r="A34" t="s">
        <v>29</v>
      </c>
      <c r="B34" t="str">
        <f t="shared" si="1"/>
        <v>Suresh Rao</v>
      </c>
    </row>
    <row r="35" spans="1:2" x14ac:dyDescent="0.25">
      <c r="A35" t="s">
        <v>32</v>
      </c>
      <c r="B35" t="str">
        <f t="shared" si="1"/>
        <v>Kavita Iyer</v>
      </c>
    </row>
    <row r="38" spans="1:2" x14ac:dyDescent="0.25">
      <c r="A38" t="s">
        <v>39</v>
      </c>
    </row>
    <row r="40" spans="1:2" x14ac:dyDescent="0.25">
      <c r="A40" t="s">
        <v>40</v>
      </c>
      <c r="B40" t="s">
        <v>3</v>
      </c>
    </row>
    <row r="41" spans="1:2" x14ac:dyDescent="0.25">
      <c r="A41" t="s">
        <v>15</v>
      </c>
      <c r="B41" t="str">
        <f>VLOOKUP(A41,A3:F11,3,0)</f>
        <v>IT</v>
      </c>
    </row>
    <row r="44" spans="1:2" x14ac:dyDescent="0.25">
      <c r="A44" t="s">
        <v>41</v>
      </c>
    </row>
    <row r="46" spans="1:2" x14ac:dyDescent="0.25">
      <c r="A46" t="s">
        <v>2</v>
      </c>
      <c r="B46" t="s">
        <v>5</v>
      </c>
    </row>
    <row r="47" spans="1:2" x14ac:dyDescent="0.25">
      <c r="A47" t="s">
        <v>42</v>
      </c>
      <c r="B47">
        <f>VLOOKUP(B7,B3:F11,4,0)</f>
        <v>58000</v>
      </c>
    </row>
    <row r="50" spans="1:2" x14ac:dyDescent="0.25">
      <c r="A50" t="s">
        <v>43</v>
      </c>
    </row>
    <row r="52" spans="1:2" x14ac:dyDescent="0.25">
      <c r="A52" t="s">
        <v>40</v>
      </c>
      <c r="B52" t="s">
        <v>4</v>
      </c>
    </row>
    <row r="53" spans="1:2" x14ac:dyDescent="0.25">
      <c r="A53" t="s">
        <v>29</v>
      </c>
      <c r="B53" t="str">
        <f>VLOOKUP(A53,A3:F11,4,0)</f>
        <v>Hyderabad</v>
      </c>
    </row>
    <row r="56" spans="1:2" x14ac:dyDescent="0.25">
      <c r="A56" t="s">
        <v>44</v>
      </c>
    </row>
    <row r="58" spans="1:2" x14ac:dyDescent="0.25">
      <c r="A58" t="s">
        <v>40</v>
      </c>
      <c r="B58" t="s">
        <v>2</v>
      </c>
    </row>
    <row r="59" spans="1:2" x14ac:dyDescent="0.25">
      <c r="A59" t="s">
        <v>45</v>
      </c>
      <c r="B59" t="str">
        <f>IFERROR(VLOOKUP(A59,A3:F11,2,0),"Not Found")</f>
        <v>Not Found</v>
      </c>
    </row>
    <row r="62" spans="1:2" x14ac:dyDescent="0.25">
      <c r="A62" t="s">
        <v>46</v>
      </c>
    </row>
    <row r="64" spans="1:2" x14ac:dyDescent="0.25">
      <c r="A64" t="s">
        <v>40</v>
      </c>
      <c r="B64" t="s">
        <v>47</v>
      </c>
    </row>
    <row r="65" spans="1:3" x14ac:dyDescent="0.25">
      <c r="A65" t="s">
        <v>7</v>
      </c>
      <c r="B65">
        <f>VLOOKUP(A65,A3:F11,6,0)</f>
        <v>2019</v>
      </c>
    </row>
    <row r="68" spans="1:3" x14ac:dyDescent="0.25">
      <c r="C68" t="s">
        <v>48</v>
      </c>
    </row>
    <row r="70" spans="1:3" x14ac:dyDescent="0.25">
      <c r="A70" t="s">
        <v>49</v>
      </c>
    </row>
    <row r="72" spans="1:3" x14ac:dyDescent="0.25">
      <c r="A72" t="s">
        <v>3</v>
      </c>
      <c r="B72" t="s">
        <v>54</v>
      </c>
    </row>
    <row r="73" spans="1:3" x14ac:dyDescent="0.25">
      <c r="A73" t="s">
        <v>52</v>
      </c>
      <c r="B73" s="3">
        <f>HLOOKUP(A73,K12:S13,2,0)</f>
        <v>0.12</v>
      </c>
    </row>
    <row r="76" spans="1:3" x14ac:dyDescent="0.25">
      <c r="A76" t="s">
        <v>53</v>
      </c>
    </row>
    <row r="78" spans="1:3" x14ac:dyDescent="0.25">
      <c r="A78" t="s">
        <v>3</v>
      </c>
      <c r="B78" t="s">
        <v>54</v>
      </c>
    </row>
    <row r="79" spans="1:3" x14ac:dyDescent="0.25">
      <c r="A79" t="s">
        <v>21</v>
      </c>
      <c r="B79" s="3">
        <f>HLOOKUP(A79,K12:S13,2,0)</f>
        <v>0.15</v>
      </c>
    </row>
    <row r="82" spans="1:2" x14ac:dyDescent="0.25">
      <c r="A82" t="s">
        <v>55</v>
      </c>
    </row>
    <row r="84" spans="1:2" x14ac:dyDescent="0.25">
      <c r="A84" t="s">
        <v>56</v>
      </c>
      <c r="B84" t="s">
        <v>51</v>
      </c>
    </row>
    <row r="85" spans="1:2" x14ac:dyDescent="0.25">
      <c r="A85" t="s">
        <v>19</v>
      </c>
      <c r="B85">
        <f>HLOOKUP(A85,K11:S14,4,0)</f>
        <v>8700</v>
      </c>
    </row>
    <row r="88" spans="1:2" x14ac:dyDescent="0.25">
      <c r="A88" t="s">
        <v>57</v>
      </c>
    </row>
    <row r="90" spans="1:2" x14ac:dyDescent="0.25">
      <c r="A90" t="s">
        <v>3</v>
      </c>
      <c r="B90" t="s">
        <v>51</v>
      </c>
    </row>
    <row r="91" spans="1:2" x14ac:dyDescent="0.25">
      <c r="A91" t="s">
        <v>58</v>
      </c>
      <c r="B91" t="str">
        <f>IFERROR(HLOOKUP(A91,K11:S14,4,0),"Not Found")</f>
        <v>Not Found</v>
      </c>
    </row>
    <row r="94" spans="1:2" x14ac:dyDescent="0.25">
      <c r="B94" t="s">
        <v>59</v>
      </c>
    </row>
    <row r="96" spans="1:2" x14ac:dyDescent="0.25">
      <c r="A96" t="s">
        <v>60</v>
      </c>
    </row>
    <row r="98" spans="1:2" x14ac:dyDescent="0.25">
      <c r="A98" t="s">
        <v>40</v>
      </c>
      <c r="B98" t="s">
        <v>61</v>
      </c>
    </row>
    <row r="99" spans="1:2" x14ac:dyDescent="0.25">
      <c r="A99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C5B4-B210-47E9-A6DF-BF473E15A8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Urvee</dc:creator>
  <cp:lastModifiedBy>Urvee</cp:lastModifiedBy>
  <dcterms:created xsi:type="dcterms:W3CDTF">2026-06-29T09:40:43Z</dcterms:created>
  <dcterms:modified xsi:type="dcterms:W3CDTF">2026-06-29T11:29:42Z</dcterms:modified>
</cp:coreProperties>
</file>